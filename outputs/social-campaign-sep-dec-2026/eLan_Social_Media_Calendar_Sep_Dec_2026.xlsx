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7bd60c7ba7540a9" /></Relationships>
</file>

<file path=xl/workbook.xml><?xml version="1.0" encoding="utf-8"?>
<x:workbook xmlns:x="http://schemas.openxmlformats.org/spreadsheetml/2006/main">
  <x:sheets>
    <x:sheet xmlns:r="http://schemas.openxmlformats.org/officeDocument/2006/relationships" name="Progress" sheetId="1" r:id="R857c5ebefac642ad"/>
    <x:sheet xmlns:r="http://schemas.openxmlformats.org/officeDocument/2006/relationships" name="Facebook" sheetId="2" r:id="Rb6d9e5746d154143"/>
    <x:sheet xmlns:r="http://schemas.openxmlformats.org/officeDocument/2006/relationships" name="Instagram" sheetId="3" r:id="Rfe5039d2bcf547f4"/>
    <x:sheet xmlns:r="http://schemas.openxmlformats.org/officeDocument/2006/relationships" name="LinkedIn" sheetId="4" r:id="R93f44ea6c0fd43ed"/>
    <x:sheet xmlns:r="http://schemas.openxmlformats.org/officeDocument/2006/relationships" name="Google Business" sheetId="5" r:id="Rd0da90c5c6134324"/>
    <x:sheet xmlns:r="http://schemas.openxmlformats.org/officeDocument/2006/relationships" name="Pinterest" sheetId="6" r:id="Rf47bbce90c2d4761"/>
    <x:sheet xmlns:r="http://schemas.openxmlformats.org/officeDocument/2006/relationships" name="WhatsApp Status" sheetId="7" r:id="Re371ec93a6b74efb"/>
    <x:sheet xmlns:r="http://schemas.openxmlformats.org/officeDocument/2006/relationships" name="WhatsApp Outreach" sheetId="8" r:id="Rbaadd03add1f41da"/>
    <x:sheet xmlns:r="http://schemas.openxmlformats.org/officeDocument/2006/relationships" name="Creative Briefs" sheetId="9" r:id="R30e2e89a72814050"/>
    <x:sheet xmlns:r="http://schemas.openxmlformats.org/officeDocument/2006/relationships" name="Account Tasks" sheetId="10" r:id="R725c907c472940a7"/>
    <x:sheet xmlns:r="http://schemas.openxmlformats.org/officeDocument/2006/relationships" name="Read Me" sheetId="11" r:id="Rfbd08cd189c5471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dd mmm yyyy"/>
    <x:numFmt numFmtId="201" formatCode="hh:mm"/>
    <x:numFmt numFmtId="202" formatCode="#,##0"/>
    <x:numFmt numFmtId="203" formatCode="0%"/>
  </x:numFmts>
  <x:fonts count="6">
    <x:font>
      <x:sz val="11"/>
      <x:name val="Carlito"/>
    </x:font>
    <x:font>
      <x:sz val="11"/>
      <x:color rgb="FF17283E"/>
      <x:name val="Arial"/>
    </x:font>
    <x:font>
      <x:b/>
      <x:sz val="17"/>
      <x:color rgb="FF17283E"/>
      <x:name val="Arial"/>
    </x:font>
    <x:font>
      <x:i/>
      <x:sz val="10"/>
      <x:color rgb="FF52647B"/>
      <x:name val="Arial"/>
    </x:font>
    <x:font>
      <x:b/>
      <x:sz val="11"/>
      <x:color rgb="FFFFFFFF"/>
      <x:name val="Arial"/>
    </x:font>
    <x:font>
      <x:b/>
      <x:sz val="11"/>
      <x:color rgb="FF17283E"/>
      <x:name val="Arial"/>
    </x:font>
  </x:fonts>
  <x:fills count="5">
    <x:fill>
      <x:patternFill patternType="none"/>
    </x:fill>
    <x:fill>
      <x:patternFill patternType="gray125"/>
    </x:fill>
    <x:fill>
      <x:patternFill patternType="solid">
        <x:fgColor rgb="FF173C65"/>
      </x:patternFill>
    </x:fill>
    <x:fill>
      <x:patternFill patternType="solid">
        <x:fgColor rgb="FFF3F6FA"/>
      </x:patternFill>
    </x:fill>
    <x:fill>
      <x:patternFill patternType="solid">
        <x:fgColor rgb="FFFFF4D8"/>
      </x:patternFill>
    </x:fill>
  </x:fills>
  <x:borders count="5">
    <x:border/>
    <x:border>
      <x:bottom style="thin">
        <x:color rgb="FFD8DEE5"/>
      </x:bottom>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3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0"/>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4"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3"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horizontal="center" vertical="top" wrapText="1"/>
    </x:xf>
    <x:xf numFmtId="200" fontId="1" fillId="4"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202" fontId="1" fillId="4"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3" fontId="5" fillId="0" borderId="0" xfId="0" applyNumberFormat="1" applyFont="1" applyFill="1" applyBorder="1" applyAlignment="1">
      <x:alignment vertical="top" wrapText="1"/>
    </x:xf>
    <x:xf numFmtId="0" fontId="1" fillId="0" borderId="0" xfId="0" applyNumberFormat="1" applyFont="1" applyFill="1" applyBorder="1" applyAlignment="1">
      <x:alignment vertical="top" wrapText="0"/>
    </x:xf>
    <x:xf numFmtId="0" fontId="1" fillId="0" borderId="0" xfId="0" applyNumberFormat="1" applyFont="1" applyFill="1" applyBorder="1" applyAlignment="1">
      <x:alignment horizontal="center" vertical="top" wrapText="1"/>
    </x:xf>
  </x:cellXfs>
  <x:cellStyles count="1">
    <x:cellStyle name="Normal" xfId="0"/>
  </x:cellStyles>
  <x:dxfs count="17">
    <x:dxf>
      <x:font>
        <x:b/>
        <x:color rgb="FF146341"/>
      </x:font>
      <x:fill>
        <x:patternFill patternType="solid">
          <x:bgColor rgb="FFE1F2E8"/>
        </x:patternFill>
      </x:fill>
    </x:dxf>
    <x:dxf>
      <x:font>
        <x:b/>
        <x:color rgb="FF146341"/>
      </x:font>
      <x:fill>
        <x:patternFill patternType="solid">
          <x:bgColor rgb="FFE1F2E8"/>
        </x:patternFill>
      </x:fill>
    </x:dxf>
    <x:dxf>
      <x:font>
        <x:b/>
        <x:color rgb="FF146341"/>
      </x:font>
      <x:fill>
        <x:patternFill patternType="solid">
          <x:bgColor rgb="FFE1F2E8"/>
        </x:patternFill>
      </x:fill>
    </x:dxf>
    <x:dxf>
      <x:font>
        <x:b/>
        <x:color rgb="FF146341"/>
      </x:font>
      <x:fill>
        <x:patternFill patternType="solid">
          <x:bgColor rgb="FFE1F2E8"/>
        </x:patternFill>
      </x:fill>
    </x:dxf>
    <x:dxf>
      <x:font>
        <x:b/>
        <x:color rgb="FF146341"/>
      </x:font>
      <x:fill>
        <x:patternFill patternType="solid">
          <x:bgColor rgb="FFE1F2E8"/>
        </x:patternFill>
      </x:fill>
    </x:dxf>
    <x:dxf>
      <x:font>
        <x:b/>
        <x:color rgb="FF146341"/>
      </x:font>
      <x:fill>
        <x:patternFill patternType="solid">
          <x:bgColor rgb="FFE1F2E8"/>
        </x:patternFill>
      </x:fill>
    </x:dxf>
    <x:dxf>
      <x:font>
        <x:b/>
        <x:color rgb="FF146341"/>
      </x:font>
      <x:fill>
        <x:patternFill patternType="solid">
          <x:bgColor rgb="FFE1F2E8"/>
        </x:patternFill>
      </x:fill>
    </x:dxf>
    <x:dxf>
      <x:font>
        <x:b/>
        <x:color rgb="FF146341"/>
      </x:font>
      <x:fill>
        <x:patternFill patternType="solid">
          <x:bgColor rgb="FFE1F2E8"/>
        </x:patternFill>
      </x:fill>
    </x:dxf>
    <x:dxf>
      <x:font>
        <x:b/>
        <x:color rgb="FF146341"/>
      </x:font>
      <x:fill>
        <x:patternFill patternType="solid">
          <x:bgColor rgb="FFE1F2E8"/>
        </x:patternFill>
      </x:fill>
    </x:dxf>
    <x:dxf>
      <x:font>
        <x:b/>
        <x:color rgb="FF146341"/>
      </x:font>
      <x:fill>
        <x:patternFill patternType="solid">
          <x:bgColor rgb="FFE1F2E8"/>
        </x:patternFill>
      </x:fill>
    </x:dxf>
    <x:dxf>
      <x:font>
        <x:b/>
        <x:color rgb="FF146341"/>
      </x:font>
      <x:fill>
        <x:patternFill patternType="solid">
          <x:bgColor rgb="FFE1F2E8"/>
        </x:patternFill>
      </x:fill>
    </x:dxf>
    <x:dxf>
      <x:font>
        <x:b/>
        <x:color rgb="FF146341"/>
      </x:font>
      <x:fill>
        <x:patternFill patternType="solid">
          <x:bgColor rgb="FFE1F2E8"/>
        </x:patternFill>
      </x:fill>
    </x:dxf>
    <x:dxf>
      <x:font>
        <x:b/>
        <x:color rgb="FF146341"/>
      </x:font>
      <x:fill>
        <x:patternFill patternType="solid">
          <x:bgColor rgb="FFE1F2E8"/>
        </x:patternFill>
      </x:fill>
    </x:dxf>
    <x:dxf>
      <x:font>
        <x:b/>
        <x:color rgb="FF146341"/>
      </x:font>
      <x:fill>
        <x:patternFill patternType="solid">
          <x:bgColor rgb="FFE1F2E8"/>
        </x:patternFill>
      </x:fill>
    </x:dxf>
    <x:dxf>
      <x:font>
        <x:b/>
        <x:color rgb="FF146341"/>
      </x:font>
      <x:fill>
        <x:patternFill patternType="solid">
          <x:bgColor rgb="FFE1F2E8"/>
        </x:patternFill>
      </x:fill>
    </x:dxf>
    <x:dxf>
      <x:font>
        <x:b/>
        <x:color rgb="FF146341"/>
      </x:font>
      <x:fill>
        <x:patternFill patternType="solid">
          <x:bgColor rgb="FFE1F2E8"/>
        </x:patternFill>
      </x:fill>
    </x:dxf>
    <x:dxf>
      <x:font>
        <x:b/>
        <x:color rgb="FF146341"/>
      </x:font>
      <x:fill>
        <x:patternFill patternType="solid">
          <x:bgColor rgb="FFE1F2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59edbe3be9447b3" /><Relationship Type="http://schemas.openxmlformats.org/officeDocument/2006/relationships/theme" Target="/xl/theme/theme1.xml" Id="R192ff01071d0432a" /><Relationship Type="http://schemas.openxmlformats.org/officeDocument/2006/relationships/sharedStrings" Target="/xl/sharedStrings.xml" Id="R811e13c356214745" /><Relationship Type="http://schemas.openxmlformats.org/officeDocument/2006/relationships/worksheet" Target="/xl/worksheets/sheet1.xml" Id="R857c5ebefac642ad" /><Relationship Type="http://schemas.openxmlformats.org/officeDocument/2006/relationships/worksheet" Target="/xl/worksheets/sheet2.xml" Id="Rb6d9e5746d154143" /><Relationship Type="http://schemas.openxmlformats.org/officeDocument/2006/relationships/worksheet" Target="/xl/worksheets/sheet3.xml" Id="Rfe5039d2bcf547f4" /><Relationship Type="http://schemas.openxmlformats.org/officeDocument/2006/relationships/worksheet" Target="/xl/worksheets/sheet4.xml" Id="R93f44ea6c0fd43ed" /><Relationship Type="http://schemas.openxmlformats.org/officeDocument/2006/relationships/worksheet" Target="/xl/worksheets/sheet5.xml" Id="Rd0da90c5c6134324" /><Relationship Type="http://schemas.openxmlformats.org/officeDocument/2006/relationships/worksheet" Target="/xl/worksheets/sheet6.xml" Id="Rf47bbce90c2d4761" /><Relationship Type="http://schemas.openxmlformats.org/officeDocument/2006/relationships/worksheet" Target="/xl/worksheets/sheet7.xml" Id="Re371ec93a6b74efb" /><Relationship Type="http://schemas.openxmlformats.org/officeDocument/2006/relationships/worksheet" Target="/xl/worksheets/sheet8.xml" Id="Rbaadd03add1f41da" /><Relationship Type="http://schemas.openxmlformats.org/officeDocument/2006/relationships/worksheet" Target="/xl/worksheets/sheet9.xml" Id="R30e2e89a72814050" /><Relationship Type="http://schemas.openxmlformats.org/officeDocument/2006/relationships/worksheet" Target="/xl/worksheets/sheet10.xml" Id="R725c907c472940a7" /><Relationship Type="http://schemas.openxmlformats.org/officeDocument/2006/relationships/worksheet" Target="/xl/worksheets/sheet11.xml" Id="Rfbd08cd189c54716" /></Relationships>
</file>

<file path=xl/tables/table1.xml><?xml version="1.0" encoding="utf-8"?>
<x:table xmlns:x="http://schemas.openxmlformats.org/spreadsheetml/2006/main" id="1" name="FacebookPosts" displayName="FacebookPosts" ref="A5:AB40" headerRowCount="1" totalsRowCount="0" totalsRowShown="0">
  <x:autoFilter ref="A5:AB40"/>
  <x:tableColumns count="28">
    <x:tableColumn id="1" name="Published"/>
    <x:tableColumn id="2" name="Planned date"/>
    <x:tableColumn id="3" name="Time IST"/>
    <x:tableColumn id="4" name="Post ID"/>
    <x:tableColumn id="5" name="Priority"/>
    <x:tableColumn id="6" name="Workflow"/>
    <x:tableColumn id="7" name="Owner"/>
    <x:tableColumn id="8" name="Post heading"/>
    <x:tableColumn id="9" name="Full caption / Status text"/>
    <x:tableColumn id="10" name="Hashtags"/>
    <x:tableColumn id="11" name="Call to action"/>
    <x:tableColumn id="12" name="Destination URL"/>
    <x:tableColumn id="13" name="Format"/>
    <x:tableColumn id="14" name="On-artwork text / slides"/>
    <x:tableColumn id="15" name="Graphic / video direction"/>
    <x:tableColumn id="16" name="Canvas size"/>
    <x:tableColumn id="17" name="Suggested alt text"/>
    <x:tableColumn id="18" name="Before publishing"/>
    <x:tableColumn id="19" name="Copy approved"/>
    <x:tableColumn id="20" name="Asset ready"/>
    <x:tableColumn id="21" name="Link tested"/>
    <x:tableColumn id="22" name="Actual date"/>
    <x:tableColumn id="23" name="Published URL"/>
    <x:tableColumn id="24" name="Reach / views"/>
    <x:tableColumn id="25" name="Link clicks"/>
    <x:tableColumn id="26" name="Qualified enquiries"/>
    <x:tableColumn id="27" name="Notes"/>
    <x:tableColumn id="28" name="Fallback caption"/>
  </x:tableColumns>
  <x:tableStyleInfo name="TableStyleMedium2" showFirstColumn="0" showLastColumn="0" showRowStripes="1" showColumnStripes="0"/>
</x:table>
</file>

<file path=xl/tables/table2.xml><?xml version="1.0" encoding="utf-8"?>
<x:table xmlns:x="http://schemas.openxmlformats.org/spreadsheetml/2006/main" id="2" name="InstagramPosts" displayName="InstagramPosts" ref="A5:AB40" headerRowCount="1" totalsRowCount="0" totalsRowShown="0">
  <x:autoFilter ref="A5:AB40"/>
  <x:tableColumns count="28">
    <x:tableColumn id="1" name="Published"/>
    <x:tableColumn id="2" name="Planned date"/>
    <x:tableColumn id="3" name="Time IST"/>
    <x:tableColumn id="4" name="Post ID"/>
    <x:tableColumn id="5" name="Priority"/>
    <x:tableColumn id="6" name="Workflow"/>
    <x:tableColumn id="7" name="Owner"/>
    <x:tableColumn id="8" name="Post heading"/>
    <x:tableColumn id="9" name="Full caption / Status text"/>
    <x:tableColumn id="10" name="Hashtags"/>
    <x:tableColumn id="11" name="Call to action"/>
    <x:tableColumn id="12" name="Destination URL"/>
    <x:tableColumn id="13" name="Format"/>
    <x:tableColumn id="14" name="On-artwork text / slides"/>
    <x:tableColumn id="15" name="Graphic / video direction"/>
    <x:tableColumn id="16" name="Canvas size"/>
    <x:tableColumn id="17" name="Suggested alt text"/>
    <x:tableColumn id="18" name="Before publishing"/>
    <x:tableColumn id="19" name="Copy approved"/>
    <x:tableColumn id="20" name="Asset ready"/>
    <x:tableColumn id="21" name="Link tested"/>
    <x:tableColumn id="22" name="Actual date"/>
    <x:tableColumn id="23" name="Published URL"/>
    <x:tableColumn id="24" name="Reach / views"/>
    <x:tableColumn id="25" name="Link clicks"/>
    <x:tableColumn id="26" name="Qualified enquiries"/>
    <x:tableColumn id="27" name="Notes"/>
    <x:tableColumn id="28" name="Fallback caption"/>
  </x:tableColumns>
  <x:tableStyleInfo name="TableStyleMedium2" showFirstColumn="0" showLastColumn="0" showRowStripes="1" showColumnStripes="0"/>
</x:table>
</file>

<file path=xl/tables/table3.xml><?xml version="1.0" encoding="utf-8"?>
<x:table xmlns:x="http://schemas.openxmlformats.org/spreadsheetml/2006/main" id="3" name="LinkedInPosts" displayName="LinkedInPosts" ref="A5:AB40" headerRowCount="1" totalsRowCount="0" totalsRowShown="0">
  <x:autoFilter ref="A5:AB40"/>
  <x:tableColumns count="28">
    <x:tableColumn id="1" name="Published"/>
    <x:tableColumn id="2" name="Planned date"/>
    <x:tableColumn id="3" name="Time IST"/>
    <x:tableColumn id="4" name="Post ID"/>
    <x:tableColumn id="5" name="Priority"/>
    <x:tableColumn id="6" name="Workflow"/>
    <x:tableColumn id="7" name="Owner"/>
    <x:tableColumn id="8" name="Post heading"/>
    <x:tableColumn id="9" name="Full caption / Status text"/>
    <x:tableColumn id="10" name="Hashtags"/>
    <x:tableColumn id="11" name="Call to action"/>
    <x:tableColumn id="12" name="Destination URL"/>
    <x:tableColumn id="13" name="Format"/>
    <x:tableColumn id="14" name="On-artwork text / slides"/>
    <x:tableColumn id="15" name="Graphic / video direction"/>
    <x:tableColumn id="16" name="Canvas size"/>
    <x:tableColumn id="17" name="Suggested alt text"/>
    <x:tableColumn id="18" name="Before publishing"/>
    <x:tableColumn id="19" name="Copy approved"/>
    <x:tableColumn id="20" name="Asset ready"/>
    <x:tableColumn id="21" name="Link tested"/>
    <x:tableColumn id="22" name="Actual date"/>
    <x:tableColumn id="23" name="Published URL"/>
    <x:tableColumn id="24" name="Reach / views"/>
    <x:tableColumn id="25" name="Link clicks"/>
    <x:tableColumn id="26" name="Qualified enquiries"/>
    <x:tableColumn id="27" name="Notes"/>
    <x:tableColumn id="28" name="Fallback caption"/>
  </x:tableColumns>
  <x:tableStyleInfo name="TableStyleMedium2" showFirstColumn="0" showLastColumn="0" showRowStripes="1" showColumnStripes="0"/>
</x:table>
</file>

<file path=xl/tables/table4.xml><?xml version="1.0" encoding="utf-8"?>
<x:table xmlns:x="http://schemas.openxmlformats.org/spreadsheetml/2006/main" id="4" name="GoogleBusinessPosts" displayName="GoogleBusinessPosts" ref="A5:AB40" headerRowCount="1" totalsRowCount="0" totalsRowShown="0">
  <x:autoFilter ref="A5:AB40"/>
  <x:tableColumns count="28">
    <x:tableColumn id="1" name="Published"/>
    <x:tableColumn id="2" name="Planned date"/>
    <x:tableColumn id="3" name="Time IST"/>
    <x:tableColumn id="4" name="Post ID"/>
    <x:tableColumn id="5" name="Priority"/>
    <x:tableColumn id="6" name="Workflow"/>
    <x:tableColumn id="7" name="Owner"/>
    <x:tableColumn id="8" name="Post heading"/>
    <x:tableColumn id="9" name="Full caption / Status text"/>
    <x:tableColumn id="10" name="Hashtags"/>
    <x:tableColumn id="11" name="Call to action"/>
    <x:tableColumn id="12" name="Destination URL"/>
    <x:tableColumn id="13" name="Format"/>
    <x:tableColumn id="14" name="On-artwork text / slides"/>
    <x:tableColumn id="15" name="Graphic / video direction"/>
    <x:tableColumn id="16" name="Canvas size"/>
    <x:tableColumn id="17" name="Suggested alt text"/>
    <x:tableColumn id="18" name="Before publishing"/>
    <x:tableColumn id="19" name="Copy approved"/>
    <x:tableColumn id="20" name="Asset ready"/>
    <x:tableColumn id="21" name="Link tested"/>
    <x:tableColumn id="22" name="Actual date"/>
    <x:tableColumn id="23" name="Published URL"/>
    <x:tableColumn id="24" name="Reach / views"/>
    <x:tableColumn id="25" name="Link clicks"/>
    <x:tableColumn id="26" name="Qualified enquiries"/>
    <x:tableColumn id="27" name="Notes"/>
    <x:tableColumn id="28" name="Fallback caption"/>
  </x:tableColumns>
  <x:tableStyleInfo name="TableStyleMedium2" showFirstColumn="0" showLastColumn="0" showRowStripes="1" showColumnStripes="0"/>
</x:table>
</file>

<file path=xl/tables/table5.xml><?xml version="1.0" encoding="utf-8"?>
<x:table xmlns:x="http://schemas.openxmlformats.org/spreadsheetml/2006/main" id="5" name="PinterestPosts" displayName="PinterestPosts" ref="A5:AB40" headerRowCount="1" totalsRowCount="0" totalsRowShown="0">
  <x:autoFilter ref="A5:AB40"/>
  <x:tableColumns count="28">
    <x:tableColumn id="1" name="Published"/>
    <x:tableColumn id="2" name="Planned date"/>
    <x:tableColumn id="3" name="Time IST"/>
    <x:tableColumn id="4" name="Post ID"/>
    <x:tableColumn id="5" name="Priority"/>
    <x:tableColumn id="6" name="Workflow"/>
    <x:tableColumn id="7" name="Owner"/>
    <x:tableColumn id="8" name="Post heading"/>
    <x:tableColumn id="9" name="Full caption / Status text"/>
    <x:tableColumn id="10" name="Hashtags"/>
    <x:tableColumn id="11" name="Call to action"/>
    <x:tableColumn id="12" name="Destination URL"/>
    <x:tableColumn id="13" name="Format"/>
    <x:tableColumn id="14" name="On-artwork text / slides"/>
    <x:tableColumn id="15" name="Graphic / video direction"/>
    <x:tableColumn id="16" name="Canvas size"/>
    <x:tableColumn id="17" name="Suggested alt text"/>
    <x:tableColumn id="18" name="Before publishing"/>
    <x:tableColumn id="19" name="Copy approved"/>
    <x:tableColumn id="20" name="Asset ready"/>
    <x:tableColumn id="21" name="Link tested"/>
    <x:tableColumn id="22" name="Actual date"/>
    <x:tableColumn id="23" name="Published URL"/>
    <x:tableColumn id="24" name="Reach / views"/>
    <x:tableColumn id="25" name="Link clicks"/>
    <x:tableColumn id="26" name="Qualified enquiries"/>
    <x:tableColumn id="27" name="Notes"/>
    <x:tableColumn id="28" name="Fallback caption"/>
  </x:tableColumns>
  <x:tableStyleInfo name="TableStyleMedium2" showFirstColumn="0" showLastColumn="0" showRowStripes="1" showColumnStripes="0"/>
</x:table>
</file>

<file path=xl/tables/table6.xml><?xml version="1.0" encoding="utf-8"?>
<x:table xmlns:x="http://schemas.openxmlformats.org/spreadsheetml/2006/main" id="6" name="WhatsAppStatusPosts" displayName="WhatsAppStatusPosts" ref="A5:AB40" headerRowCount="1" totalsRowCount="0" totalsRowShown="0">
  <x:autoFilter ref="A5:AB40"/>
  <x:tableColumns count="28">
    <x:tableColumn id="1" name="Published"/>
    <x:tableColumn id="2" name="Planned date"/>
    <x:tableColumn id="3" name="Time IST"/>
    <x:tableColumn id="4" name="Post ID"/>
    <x:tableColumn id="5" name="Priority"/>
    <x:tableColumn id="6" name="Workflow"/>
    <x:tableColumn id="7" name="Owner"/>
    <x:tableColumn id="8" name="Post heading"/>
    <x:tableColumn id="9" name="Full caption / Status text"/>
    <x:tableColumn id="10" name="Hashtags"/>
    <x:tableColumn id="11" name="Call to action"/>
    <x:tableColumn id="12" name="Destination URL"/>
    <x:tableColumn id="13" name="Format"/>
    <x:tableColumn id="14" name="On-artwork text / slides"/>
    <x:tableColumn id="15" name="Graphic / video direction"/>
    <x:tableColumn id="16" name="Canvas size"/>
    <x:tableColumn id="17" name="Suggested alt text"/>
    <x:tableColumn id="18" name="Before publishing"/>
    <x:tableColumn id="19" name="Copy approved"/>
    <x:tableColumn id="20" name="Asset ready"/>
    <x:tableColumn id="21" name="Link tested"/>
    <x:tableColumn id="22" name="Actual date"/>
    <x:tableColumn id="23" name="Published URL"/>
    <x:tableColumn id="24" name="Reach / views"/>
    <x:tableColumn id="25" name="Link clicks"/>
    <x:tableColumn id="26" name="Qualified enquiries"/>
    <x:tableColumn id="27" name="Notes"/>
    <x:tableColumn id="28" name="Fallback caption"/>
  </x:tableColumns>
  <x:tableStyleInfo name="TableStyleMedium2" showFirstColumn="0" showLastColumn="0" showRowStripes="1" showColumnStripes="0"/>
</x:table>
</file>

<file path=xl/tables/table7.xml><?xml version="1.0" encoding="utf-8"?>
<x:table xmlns:x="http://schemas.openxmlformats.org/spreadsheetml/2006/main" id="7" name="WhatsAppMessages" displayName="WhatsAppMessages" ref="A5:Q19" headerRowCount="1" totalsRowCount="0" totalsRowShown="0">
  <x:autoFilter ref="A5:Q19"/>
  <x:tableColumns count="17">
    <x:tableColumn id="1" name="Sent"/>
    <x:tableColumn id="2" name="Planned date"/>
    <x:tableColumn id="3" name="Time IST"/>
    <x:tableColumn id="4" name="Task ID"/>
    <x:tableColumn id="5" name="Audience"/>
    <x:tableColumn id="6" name="Subject / topic"/>
    <x:tableColumn id="7" name="Complete message"/>
    <x:tableColumn id="8" name="Permission / release check"/>
    <x:tableColumn id="9" name="Suggested attachment"/>
    <x:tableColumn id="10" name="Destination URL"/>
    <x:tableColumn id="11" name="Consent checked"/>
    <x:tableColumn id="12" name="Copy approved"/>
    <x:tableColumn id="13" name="Link tested"/>
    <x:tableColumn id="14" name="Owner"/>
    <x:tableColumn id="15" name="Actual sent date"/>
    <x:tableColumn id="16" name="Outcome notes"/>
    <x:tableColumn id="17" name="Follow-up notes"/>
  </x:tableColumns>
  <x:tableStyleInfo name="TableStyleMedium2" showFirstColumn="0" showLastColumn="0" showRowStripes="1" showColumnStripes="0"/>
</x:table>
</file>

<file path=xl/tables/table8.xml><?xml version="1.0" encoding="utf-8"?>
<x:table xmlns:x="http://schemas.openxmlformats.org/spreadsheetml/2006/main" id="8" name="CreativeAssets" displayName="CreativeAssets" ref="A5:K40" headerRowCount="1" totalsRowCount="0" totalsRowShown="0">
  <x:autoFilter ref="A5:K40"/>
  <x:tableColumns count="11">
    <x:tableColumn id="1" name="ID"/>
    <x:tableColumn id="2" name="Date"/>
    <x:tableColumn id="3" name="Theme"/>
    <x:tableColumn id="4" name="Master headline"/>
    <x:tableColumn id="5" name="Carousel copy"/>
    <x:tableColumn id="6" name="Art direction"/>
    <x:tableColumn id="7" name="Video shot sequence"/>
    <x:tableColumn id="8" name="Suggested voiceover"/>
    <x:tableColumn id="9" name="Accessibility / final checks"/>
    <x:tableColumn id="10" name="Master asset ready"/>
    <x:tableColumn id="11" name="File link"/>
  </x:tableColumns>
  <x:tableStyleInfo name="TableStyleMedium2" showFirstColumn="0" showLastColumn="0" showRowStripes="1" showColumnStripes="0"/>
</x:table>
</file>

<file path=xl/tables/table9.xml><?xml version="1.0" encoding="utf-8"?>
<x:table xmlns:x="http://schemas.openxmlformats.org/spreadsheetml/2006/main" id="9" name="AccountActions" displayName="AccountActions" ref="A5:H27" headerRowCount="1" totalsRowCount="0" totalsRowShown="0">
  <x:autoFilter ref="A5:H27"/>
  <x:tableColumns count="8">
    <x:tableColumn id="1" name="Done"/>
    <x:tableColumn id="2" name="Due date"/>
    <x:tableColumn id="3" name="Channel / track"/>
    <x:tableColumn id="4" name="Task"/>
    <x:tableColumn id="5" name="Detailed action"/>
    <x:tableColumn id="6" name="Owner"/>
    <x:tableColumn id="7" name="Evidence / notes"/>
    <x:tableColumn id="8" name="Completed date"/>
  </x:tableColumns>
  <x:tableStyleInfo name="TableStyleMedium2" showFirstColumn="0" showLastColumn="0" showRowStripes="1" showColumnStripes="0"/>
</x:table>
</file>

<file path=xl/tables/table10.xml><?xml version="1.0" encoding="utf-8"?>
<x:table xmlns:x="http://schemas.openxmlformats.org/spreadsheetml/2006/main" id="10" name="CalendarGuide" displayName="CalendarGuide" ref="A5:C27" headerRowCount="1" totalsRowCount="0" totalsRowShown="0">
  <x:autoFilter ref="A5:C27"/>
  <x:tableColumns count="3">
    <x:tableColumn id="1" name="Section"/>
    <x:tableColumn id="2" name="Instructions"/>
    <x:tableColumn id="3" name="Source / refer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3e0f4663128461c" /></Relationships>
</file>

<file path=xl/worksheets/_rels/sheet3.xml.rels>&#65279;<?xml version="1.0" encoding="utf-8"?><Relationships xmlns="http://schemas.openxmlformats.org/package/2006/relationships"><Relationship Type="http://schemas.openxmlformats.org/officeDocument/2006/relationships/table" Target="/xl/tables/table2.xml" Id="R8ef16f643c2c4e1d" /></Relationships>
</file>

<file path=xl/worksheets/_rels/sheet4.xml.rels>&#65279;<?xml version="1.0" encoding="utf-8"?><Relationships xmlns="http://schemas.openxmlformats.org/package/2006/relationships"><Relationship Type="http://schemas.openxmlformats.org/officeDocument/2006/relationships/table" Target="/xl/tables/table3.xml" Id="R1a106911cff14a6f" /></Relationships>
</file>

<file path=xl/worksheets/_rels/sheet5.xml.rels>&#65279;<?xml version="1.0" encoding="utf-8"?><Relationships xmlns="http://schemas.openxmlformats.org/package/2006/relationships"><Relationship Type="http://schemas.openxmlformats.org/officeDocument/2006/relationships/table" Target="/xl/tables/table4.xml" Id="R97771335b8624109" /></Relationships>
</file>

<file path=xl/worksheets/_rels/sheet6.xml.rels>&#65279;<?xml version="1.0" encoding="utf-8"?><Relationships xmlns="http://schemas.openxmlformats.org/package/2006/relationships"><Relationship Type="http://schemas.openxmlformats.org/officeDocument/2006/relationships/table" Target="/xl/tables/table5.xml" Id="Re91d5f4b9208427d" /></Relationships>
</file>

<file path=xl/worksheets/_rels/sheet7.xml.rels>&#65279;<?xml version="1.0" encoding="utf-8"?><Relationships xmlns="http://schemas.openxmlformats.org/package/2006/relationships"><Relationship Type="http://schemas.openxmlformats.org/officeDocument/2006/relationships/table" Target="/xl/tables/table6.xml" Id="Ra1e1e6787c9f4e86" /></Relationships>
</file>

<file path=xl/worksheets/_rels/sheet8.xml.rels>&#65279;<?xml version="1.0" encoding="utf-8"?><Relationships xmlns="http://schemas.openxmlformats.org/package/2006/relationships"><Relationship Type="http://schemas.openxmlformats.org/officeDocument/2006/relationships/table" Target="/xl/tables/table7.xml" Id="R1d1f2249e96449dd" /></Relationships>
</file>

<file path=xl/worksheets/_rels/sheet9.xml.rels>&#65279;<?xml version="1.0" encoding="utf-8"?><Relationships xmlns="http://schemas.openxmlformats.org/package/2006/relationships"><Relationship Type="http://schemas.openxmlformats.org/officeDocument/2006/relationships/table" Target="/xl/tables/table8.xml" Id="R18cc6006cb3e41ea" /></Relationships>
</file>

<file path=xl/worksheets/_rels/sheet10.xml.rels>&#65279;<?xml version="1.0" encoding="utf-8"?><Relationships xmlns="http://schemas.openxmlformats.org/package/2006/relationships"><Relationship Type="http://schemas.openxmlformats.org/officeDocument/2006/relationships/table" Target="/xl/tables/table9.xml" Id="Rd24b84843b064254" /></Relationships>
</file>

<file path=xl/worksheets/_rels/sheet11.xml.rels>&#65279;<?xml version="1.0" encoding="utf-8"?><Relationships xmlns="http://schemas.openxmlformats.org/package/2006/relationships"><Relationship Type="http://schemas.openxmlformats.org/officeDocument/2006/relationships/table" Target="/xl/tables/table10.xml" Id="Rab8fb095c9624656" /></Relationships>
</file>

<file path=xl/worksheets/sheet1.xml><?xml version="1.0" encoding="utf-8"?>
<x:worksheet xmlns:x="http://schemas.openxmlformats.org/spreadsheetml/2006/main">
  <x:sheetPr>
    <x:tabColor rgb="FF173C65"/>
  </x:sheetPr>
  <x:sheetViews>
    <x:sheetView showGridLines="0" workbookViewId="0">
      <x:pane ySplit="5" topLeftCell="A6" activePane="bottomLeft" state="frozen"/>
    </x:sheetView>
  </x:sheetViews>
  <x:sheetFormatPr defaultRowHeight="15"/>
  <x:cols>
    <x:col min="1" max="1" width="27" hidden="0" customWidth="1"/>
    <x:col min="2" max="2" width="17" hidden="0" customWidth="1"/>
    <x:col min="3" max="3" width="45" hidden="0" customWidth="1"/>
    <x:col min="4" max="4" width="16" hidden="0" customWidth="1"/>
    <x:col min="5" max="5" width="16" hidden="0" customWidth="1"/>
    <x:col min="6" max="6" width="16" hidden="0" customWidth="1"/>
    <x:col min="7" max="7" width="20" hidden="0" customWidth="1"/>
    <x:col min="8" max="8" width="16" hidden="0" customWidth="1"/>
    <x:col min="9" max="9" width="21" hidden="0" customWidth="1"/>
    <x:col min="10" max="10" width="18" hidden="0" customWidth="1"/>
  </x:cols>
  <x:sheetData>
    <x:row r="1" ht="28" customHeight="1">
      <x:c r="A1" s="5" t="str">
        <x:v>Social media publishing progress</x:v>
      </x:c>
      <x:c r="B1" s="3"/>
      <x:c r="C1" s="3"/>
      <x:c r="D1" s="3"/>
      <x:c r="E1" s="3"/>
      <x:c r="F1" s="3"/>
      <x:c r="G1" s="3"/>
      <x:c r="H1" s="3"/>
      <x:c r="I1" s="3"/>
      <x:c r="J1" s="3"/>
    </x:row>
    <x:row r="2" ht="22" customHeight="1">
      <x:c r="A2" s="7" t="str">
        <x:v>eLan Technology | 11 September–31 December 2026 | 35 themes, 210 platform drafts and 14 permission-based messages.</x:v>
      </x:c>
      <x:c r="B2" s="3"/>
      <x:c r="C2" s="3"/>
      <x:c r="D2" s="3"/>
      <x:c r="E2" s="3"/>
      <x:c r="F2" s="3"/>
      <x:c r="G2" s="3"/>
      <x:c r="H2" s="3"/>
      <x:c r="I2" s="3"/>
      <x:c r="J2" s="3"/>
    </x:row>
    <x:row r="3">
      <x:c r="A3" s="8"/>
      <x:c r="B3" s="8"/>
      <x:c r="C3" s="8"/>
      <x:c r="D3" s="8"/>
      <x:c r="E3" s="8"/>
      <x:c r="F3" s="8"/>
      <x:c r="G3" s="8"/>
      <x:c r="H3" s="8"/>
      <x:c r="I3" s="8"/>
      <x:c r="J3" s="8"/>
    </x:row>
    <x:row r="4">
      <x:c r="A4" s="3"/>
      <x:c r="B4" s="3"/>
      <x:c r="C4" s="3"/>
      <x:c r="D4" s="3"/>
      <x:c r="E4" s="3"/>
      <x:c r="F4" s="3"/>
      <x:c r="G4" s="3"/>
      <x:c r="H4" s="3"/>
      <x:c r="I4" s="3"/>
      <x:c r="J4" s="3"/>
    </x:row>
    <x:row r="5" ht="36" customHeight="1">
      <x:c r="A5" s="12" t="str">
        <x:v>Channel</x:v>
      </x:c>
      <x:c r="B5" s="13" t="str">
        <x:v>Draft rows</x:v>
      </x:c>
      <x:c r="C5" s="13" t="str">
        <x:v>Optional rows</x:v>
      </x:c>
      <x:c r="D5" s="13" t="str">
        <x:v>Published</x:v>
      </x:c>
      <x:c r="E5" s="13" t="str">
        <x:v>Skipped</x:v>
      </x:c>
      <x:c r="F5" s="13" t="str">
        <x:v>Remaining</x:v>
      </x:c>
      <x:c r="G5" s="14" t="str">
        <x:v>Completion</x:v>
      </x:c>
      <x:c r="H5" s="3"/>
      <x:c r="I5" s="3"/>
      <x:c r="J5" s="3"/>
    </x:row>
    <x:row r="6">
      <x:c r="A6" s="3" t="str">
        <x:v>Facebook</x:v>
      </x:c>
      <x:c r="B6" s="3" t="n">
        <x:f>COUNTA('Facebook'!D6:D40)</x:f>
        <x:v>35</x:v>
      </x:c>
      <x:c r="C6" s="3" t="n">
        <x:f>COUNTIF('Facebook'!E6:E40,"Optional")</x:f>
        <x:v>0</x:v>
      </x:c>
      <x:c r="D6" s="3" t="n">
        <x:f>COUNTIF('Facebook'!A6:A40,"✓")</x:f>
        <x:v>0</x:v>
      </x:c>
      <x:c r="E6" s="3" t="n">
        <x:f>COUNTIF('Facebook'!A6:A40,"N/A")</x:f>
        <x:v>0</x:v>
      </x:c>
      <x:c r="F6" s="3" t="n">
        <x:f>B6-D6-E6</x:f>
        <x:v>35</x:v>
      </x:c>
      <x:c r="G6" s="27" t="n">
        <x:f>IF(B6-E6=0,0,D6/(B6-E6))</x:f>
        <x:v>0</x:v>
      </x:c>
      <x:c r="H6" s="3"/>
      <x:c r="I6" s="3"/>
      <x:c r="J6" s="3"/>
    </x:row>
    <x:row r="7">
      <x:c r="A7" s="3" t="str">
        <x:v>Instagram</x:v>
      </x:c>
      <x:c r="B7" s="3" t="n">
        <x:f>COUNTA('Instagram'!D6:D40)</x:f>
        <x:v>35</x:v>
      </x:c>
      <x:c r="C7" s="3" t="n">
        <x:f>COUNTIF('Instagram'!E6:E40,"Optional")</x:f>
        <x:v>0</x:v>
      </x:c>
      <x:c r="D7" s="3" t="n">
        <x:f>COUNTIF('Instagram'!A6:A40,"✓")</x:f>
        <x:v>0</x:v>
      </x:c>
      <x:c r="E7" s="3" t="n">
        <x:f>COUNTIF('Instagram'!A6:A40,"N/A")</x:f>
        <x:v>0</x:v>
      </x:c>
      <x:c r="F7" s="3" t="n">
        <x:f>B7-D7-E7</x:f>
        <x:v>35</x:v>
      </x:c>
      <x:c r="G7" s="27" t="n">
        <x:f>IF(B7-E7=0,0,D7/(B7-E7))</x:f>
        <x:v>0</x:v>
      </x:c>
      <x:c r="H7" s="3"/>
      <x:c r="I7" s="3"/>
      <x:c r="J7" s="3"/>
    </x:row>
    <x:row r="8">
      <x:c r="A8" s="3" t="str">
        <x:v>LinkedIn</x:v>
      </x:c>
      <x:c r="B8" s="3" t="n">
        <x:f>COUNTA('LinkedIn'!D6:D40)</x:f>
        <x:v>35</x:v>
      </x:c>
      <x:c r="C8" s="3" t="n">
        <x:f>COUNTIF('LinkedIn'!E6:E40,"Optional")</x:f>
        <x:v>0</x:v>
      </x:c>
      <x:c r="D8" s="3" t="n">
        <x:f>COUNTIF('LinkedIn'!A6:A40,"✓")</x:f>
        <x:v>0</x:v>
      </x:c>
      <x:c r="E8" s="3" t="n">
        <x:f>COUNTIF('LinkedIn'!A6:A40,"N/A")</x:f>
        <x:v>0</x:v>
      </x:c>
      <x:c r="F8" s="3" t="n">
        <x:f>B8-D8-E8</x:f>
        <x:v>35</x:v>
      </x:c>
      <x:c r="G8" s="27" t="n">
        <x:f>IF(B8-E8=0,0,D8/(B8-E8))</x:f>
        <x:v>0</x:v>
      </x:c>
      <x:c r="H8" s="3"/>
      <x:c r="I8" s="3"/>
      <x:c r="J8" s="3"/>
    </x:row>
    <x:row r="9">
      <x:c r="A9" s="3" t="str">
        <x:v>Google Business</x:v>
      </x:c>
      <x:c r="B9" s="3" t="n">
        <x:f>COUNTA('Google Business'!D6:D40)</x:f>
        <x:v>35</x:v>
      </x:c>
      <x:c r="C9" s="3" t="n">
        <x:f>COUNTIF('Google Business'!E6:E40,"Optional")</x:f>
        <x:v>19</x:v>
      </x:c>
      <x:c r="D9" s="3" t="n">
        <x:f>COUNTIF('Google Business'!A6:A40,"✓")</x:f>
        <x:v>0</x:v>
      </x:c>
      <x:c r="E9" s="3" t="n">
        <x:f>COUNTIF('Google Business'!A6:A40,"N/A")</x:f>
        <x:v>0</x:v>
      </x:c>
      <x:c r="F9" s="3" t="n">
        <x:f>B9-D9-E9</x:f>
        <x:v>35</x:v>
      </x:c>
      <x:c r="G9" s="27" t="n">
        <x:f>IF(B9-E9=0,0,D9/(B9-E9))</x:f>
        <x:v>0</x:v>
      </x:c>
      <x:c r="H9" s="3"/>
      <x:c r="I9" s="3"/>
      <x:c r="J9" s="3"/>
    </x:row>
    <x:row r="10">
      <x:c r="A10" s="3" t="str">
        <x:v>Pinterest</x:v>
      </x:c>
      <x:c r="B10" s="3" t="n">
        <x:f>COUNTA('Pinterest'!D6:D40)</x:f>
        <x:v>35</x:v>
      </x:c>
      <x:c r="C10" s="3" t="n">
        <x:f>COUNTIF('Pinterest'!E6:E40,"Optional")</x:f>
        <x:v>9</x:v>
      </x:c>
      <x:c r="D10" s="3" t="n">
        <x:f>COUNTIF('Pinterest'!A6:A40,"✓")</x:f>
        <x:v>0</x:v>
      </x:c>
      <x:c r="E10" s="3" t="n">
        <x:f>COUNTIF('Pinterest'!A6:A40,"N/A")</x:f>
        <x:v>0</x:v>
      </x:c>
      <x:c r="F10" s="3" t="n">
        <x:f>B10-D10-E10</x:f>
        <x:v>35</x:v>
      </x:c>
      <x:c r="G10" s="27" t="n">
        <x:f>IF(B10-E10=0,0,D10/(B10-E10))</x:f>
        <x:v>0</x:v>
      </x:c>
      <x:c r="H10" s="3"/>
      <x:c r="I10" s="3"/>
      <x:c r="J10" s="3"/>
    </x:row>
    <x:row r="11">
      <x:c r="A11" s="3" t="str">
        <x:v>WhatsApp Status</x:v>
      </x:c>
      <x:c r="B11" s="3" t="n">
        <x:f>COUNTA('WhatsApp Status'!D6:D40)</x:f>
        <x:v>35</x:v>
      </x:c>
      <x:c r="C11" s="3" t="n">
        <x:f>COUNTIF('WhatsApp Status'!E6:E40,"Optional")</x:f>
        <x:v>0</x:v>
      </x:c>
      <x:c r="D11" s="3" t="n">
        <x:f>COUNTIF('WhatsApp Status'!A6:A40,"✓")</x:f>
        <x:v>0</x:v>
      </x:c>
      <x:c r="E11" s="3" t="n">
        <x:f>COUNTIF('WhatsApp Status'!A6:A40,"N/A")</x:f>
        <x:v>0</x:v>
      </x:c>
      <x:c r="F11" s="3" t="n">
        <x:f>B11-D11-E11</x:f>
        <x:v>35</x:v>
      </x:c>
      <x:c r="G11" s="27" t="n">
        <x:f>IF(B11-E11=0,0,D11/(B11-E11))</x:f>
        <x:v>0</x:v>
      </x:c>
      <x:c r="H11" s="3"/>
      <x:c r="I11" s="3"/>
      <x:c r="J11" s="3"/>
    </x:row>
    <x:row r="12">
      <x:c r="A12" s="28" t="str">
        <x:v>Total platform drafts</x:v>
      </x:c>
      <x:c r="B12" s="28" t="n">
        <x:f>SUM(B6:B11)</x:f>
        <x:v>210</x:v>
      </x:c>
      <x:c r="C12" s="28" t="n">
        <x:f>SUM(C6:C11)</x:f>
        <x:v>28</x:v>
      </x:c>
      <x:c r="D12" s="28" t="n">
        <x:f>SUM(D6:D11)</x:f>
        <x:v>0</x:v>
      </x:c>
      <x:c r="E12" s="28" t="n">
        <x:f>SUM(E6:E11)</x:f>
        <x:v>0</x:v>
      </x:c>
      <x:c r="F12" s="28" t="n">
        <x:f>SUM(F6:F11)</x:f>
        <x:v>210</x:v>
      </x:c>
      <x:c r="G12" s="29" t="n">
        <x:f>IF(B12-E12=0,0,D12/(B12-E12))</x:f>
        <x:v>0</x:v>
      </x:c>
      <x:c r="H12" s="3"/>
      <x:c r="I12" s="3"/>
      <x:c r="J12" s="3"/>
    </x:row>
    <x:row r="13">
      <x:c r="A13" s="3"/>
      <x:c r="B13" s="3"/>
      <x:c r="C13" s="3"/>
      <x:c r="D13" s="3"/>
      <x:c r="E13" s="3"/>
      <x:c r="F13" s="3"/>
      <x:c r="G13" s="3"/>
      <x:c r="H13" s="3"/>
      <x:c r="I13" s="3"/>
      <x:c r="J13" s="3"/>
    </x:row>
    <x:row r="14">
      <x:c r="A14" s="30" t="str">
        <x:v>Use platform tabs to tick Published. N/A removes a draft from the completion denominator. Optional is not a publishing obligation.</x:v>
      </x:c>
      <x:c r="B14" s="3"/>
      <x:c r="C14" s="3"/>
      <x:c r="D14" s="3"/>
      <x:c r="E14" s="3"/>
      <x:c r="F14" s="3"/>
      <x:c r="G14" s="3"/>
      <x:c r="H14" s="3"/>
      <x:c r="I14" s="3"/>
      <x:c r="J14" s="3"/>
    </x:row>
    <x:row r="15">
      <x:c r="A15" s="30" t="str">
        <x:v>Checkbox-style dropdowns: ☐ pending, ✓ complete, N/A skipped. Workflow is a planning label; the published tick drives totals.</x:v>
      </x:c>
      <x:c r="B15" s="3"/>
      <x:c r="C15" s="3"/>
      <x:c r="D15" s="3"/>
      <x:c r="E15" s="3"/>
      <x:c r="F15" s="3"/>
      <x:c r="G15" s="3"/>
      <x:c r="H15" s="3"/>
      <x:c r="I15" s="3"/>
      <x:c r="J15" s="3"/>
    </x:row>
    <x:row r="16">
      <x:c r="A16" s="3"/>
      <x:c r="B16" s="3"/>
      <x:c r="C16" s="3"/>
      <x:c r="D16" s="3"/>
      <x:c r="E16" s="3"/>
      <x:c r="F16" s="3"/>
      <x:c r="G16" s="3"/>
      <x:c r="H16" s="3"/>
      <x:c r="I16" s="3"/>
      <x:c r="J16" s="3"/>
    </x:row>
    <x:row r="17" ht="36" customHeight="1">
      <x:c r="A17" s="12" t="str">
        <x:v>Post ID</x:v>
      </x:c>
      <x:c r="B17" s="13" t="str">
        <x:v>Planned date</x:v>
      </x:c>
      <x:c r="C17" s="13" t="str">
        <x:v>Topic</x:v>
      </x:c>
      <x:c r="D17" s="13" t="str">
        <x:v>Facebook</x:v>
      </x:c>
      <x:c r="E17" s="13" t="str">
        <x:v>Instagram</x:v>
      </x:c>
      <x:c r="F17" s="13" t="str">
        <x:v>LinkedIn</x:v>
      </x:c>
      <x:c r="G17" s="13" t="str">
        <x:v>Google Business</x:v>
      </x:c>
      <x:c r="H17" s="13" t="str">
        <x:v>Pinterest</x:v>
      </x:c>
      <x:c r="I17" s="13" t="str">
        <x:v>WhatsApp Status</x:v>
      </x:c>
      <x:c r="J17" s="14" t="str">
        <x:v>Published count</x:v>
      </x:c>
    </x:row>
    <x:row r="18" ht="42" customHeight="1">
      <x:c r="A18" s="3" t="str">
        <x:v>S01</x:v>
      </x:c>
      <x:c r="B18" s="17" t="n">
        <x:v>46276</x:v>
      </x:c>
      <x:c r="C18" s="3" t="str">
        <x:v>A fresh start for your business online</x:v>
      </x:c>
      <x:c r="D18" s="31" t="str">
        <x:f>'Facebook'!A6</x:f>
        <x:v>☐</x:v>
      </x:c>
      <x:c r="E18" s="31" t="str">
        <x:f>'Instagram'!A6</x:f>
        <x:v>☐</x:v>
      </x:c>
      <x:c r="F18" s="31" t="str">
        <x:f>'LinkedIn'!A6</x:f>
        <x:v>☐</x:v>
      </x:c>
      <x:c r="G18" s="31" t="str">
        <x:f>'Google Business'!A6</x:f>
        <x:v>☐</x:v>
      </x:c>
      <x:c r="H18" s="31" t="str">
        <x:f>'Pinterest'!A6</x:f>
        <x:v>☐</x:v>
      </x:c>
      <x:c r="I18" s="31" t="str">
        <x:f>'WhatsApp Status'!A6</x:f>
        <x:v>☐</x:v>
      </x:c>
      <x:c r="J18" s="3" t="n">
        <x:f>COUNTIF(D18:I18,"✓")</x:f>
        <x:v>0</x:v>
      </x:c>
    </x:row>
    <x:row r="19" ht="42" customHeight="1">
      <x:c r="A19" s="3" t="str">
        <x:v>S02</x:v>
      </x:c>
      <x:c r="B19" s="17" t="n">
        <x:v>46279</x:v>
      </x:c>
      <x:c r="C19" s="3" t="str">
        <x:v>Digital Launchpad is open: ₹32,000 + GST</x:v>
      </x:c>
      <x:c r="D19" s="31" t="str">
        <x:f>'Facebook'!A7</x:f>
        <x:v>☐</x:v>
      </x:c>
      <x:c r="E19" s="31" t="str">
        <x:f>'Instagram'!A7</x:f>
        <x:v>☐</x:v>
      </x:c>
      <x:c r="F19" s="31" t="str">
        <x:f>'LinkedIn'!A7</x:f>
        <x:v>☐</x:v>
      </x:c>
      <x:c r="G19" s="31" t="str">
        <x:f>'Google Business'!A7</x:f>
        <x:v>☐</x:v>
      </x:c>
      <x:c r="H19" s="31" t="str">
        <x:f>'Pinterest'!A7</x:f>
        <x:v>☐</x:v>
      </x:c>
      <x:c r="I19" s="31" t="str">
        <x:f>'WhatsApp Status'!A7</x:f>
        <x:v>☐</x:v>
      </x:c>
      <x:c r="J19" s="3" t="n">
        <x:f>COUNTIF(D19:I19,"✓")</x:f>
        <x:v>0</x:v>
      </x:c>
    </x:row>
    <x:row r="20" ht="42" customHeight="1">
      <x:c r="A20" s="3" t="str">
        <x:v>S03</x:v>
      </x:c>
      <x:c r="B20" s="17" t="n">
        <x:v>46281</x:v>
      </x:c>
      <x:c r="C20" s="3" t="str">
        <x:v>Before booking, know what is included</x:v>
      </x:c>
      <x:c r="D20" s="31" t="str">
        <x:f>'Facebook'!A8</x:f>
        <x:v>☐</x:v>
      </x:c>
      <x:c r="E20" s="31" t="str">
        <x:f>'Instagram'!A8</x:f>
        <x:v>☐</x:v>
      </x:c>
      <x:c r="F20" s="31" t="str">
        <x:f>'LinkedIn'!A8</x:f>
        <x:v>☐</x:v>
      </x:c>
      <x:c r="G20" s="31" t="str">
        <x:f>'Google Business'!A8</x:f>
        <x:v>☐</x:v>
      </x:c>
      <x:c r="H20" s="31" t="str">
        <x:f>'Pinterest'!A8</x:f>
        <x:v>☐</x:v>
      </x:c>
      <x:c r="I20" s="31" t="str">
        <x:f>'WhatsApp Status'!A8</x:f>
        <x:v>☐</x:v>
      </x:c>
      <x:c r="J20" s="3" t="n">
        <x:f>COUNTIF(D20:I20,"✓")</x:f>
        <x:v>0</x:v>
      </x:c>
    </x:row>
    <x:row r="21" ht="42" customHeight="1">
      <x:c r="A21" s="3" t="str">
        <x:v>S04</x:v>
      </x:c>
      <x:c r="B21" s="17" t="n">
        <x:v>46283</x:v>
      </x:c>
      <x:c r="C21" s="3" t="str">
        <x:v>Make it easy for visitors to enquire</x:v>
      </x:c>
      <x:c r="D21" s="31" t="str">
        <x:f>'Facebook'!A9</x:f>
        <x:v>☐</x:v>
      </x:c>
      <x:c r="E21" s="31" t="str">
        <x:f>'Instagram'!A9</x:f>
        <x:v>☐</x:v>
      </x:c>
      <x:c r="F21" s="31" t="str">
        <x:f>'LinkedIn'!A9</x:f>
        <x:v>☐</x:v>
      </x:c>
      <x:c r="G21" s="31" t="str">
        <x:f>'Google Business'!A9</x:f>
        <x:v>☐</x:v>
      </x:c>
      <x:c r="H21" s="31" t="str">
        <x:f>'Pinterest'!A9</x:f>
        <x:v>☐</x:v>
      </x:c>
      <x:c r="I21" s="31" t="str">
        <x:f>'WhatsApp Status'!A9</x:f>
        <x:v>☐</x:v>
      </x:c>
      <x:c r="J21" s="3" t="n">
        <x:f>COUNTIF(D21:I21,"✓")</x:f>
        <x:v>0</x:v>
      </x:c>
    </x:row>
    <x:row r="22" ht="42" customHeight="1">
      <x:c r="A22" s="3" t="str">
        <x:v>S05</x:v>
      </x:c>
      <x:c r="B22" s="17" t="n">
        <x:v>46286</x:v>
      </x:c>
      <x:c r="C22" s="3" t="str">
        <x:v>Five questions before you book a website</x:v>
      </x:c>
      <x:c r="D22" s="31" t="str">
        <x:f>'Facebook'!A10</x:f>
        <x:v>☐</x:v>
      </x:c>
      <x:c r="E22" s="31" t="str">
        <x:f>'Instagram'!A10</x:f>
        <x:v>☐</x:v>
      </x:c>
      <x:c r="F22" s="31" t="str">
        <x:f>'LinkedIn'!A10</x:f>
        <x:v>☐</x:v>
      </x:c>
      <x:c r="G22" s="31" t="str">
        <x:f>'Google Business'!A10</x:f>
        <x:v>☐</x:v>
      </x:c>
      <x:c r="H22" s="31" t="str">
        <x:f>'Pinterest'!A10</x:f>
        <x:v>☐</x:v>
      </x:c>
      <x:c r="I22" s="31" t="str">
        <x:f>'WhatsApp Status'!A10</x:f>
        <x:v>☐</x:v>
      </x:c>
      <x:c r="J22" s="3" t="n">
        <x:f>COUNTIF(D22:I22,"✓")</x:f>
        <x:v>0</x:v>
      </x:c>
    </x:row>
    <x:row r="23" ht="42" customHeight="1">
      <x:c r="A23" s="3" t="str">
        <x:v>S06</x:v>
      </x:c>
      <x:c r="B23" s="17" t="n">
        <x:v>46288</x:v>
      </x:c>
      <x:c r="C23" s="3" t="str">
        <x:v>Your Launchpad questions, answered</x:v>
      </x:c>
      <x:c r="D23" s="31" t="str">
        <x:f>'Facebook'!A11</x:f>
        <x:v>☐</x:v>
      </x:c>
      <x:c r="E23" s="31" t="str">
        <x:f>'Instagram'!A11</x:f>
        <x:v>☐</x:v>
      </x:c>
      <x:c r="F23" s="31" t="str">
        <x:f>'LinkedIn'!A11</x:f>
        <x:v>☐</x:v>
      </x:c>
      <x:c r="G23" s="31" t="str">
        <x:f>'Google Business'!A11</x:f>
        <x:v>☐</x:v>
      </x:c>
      <x:c r="H23" s="31" t="str">
        <x:f>'Pinterest'!A11</x:f>
        <x:v>☐</x:v>
      </x:c>
      <x:c r="I23" s="31" t="str">
        <x:f>'WhatsApp Status'!A11</x:f>
        <x:v>☐</x:v>
      </x:c>
      <x:c r="J23" s="3" t="n">
        <x:f>COUNTIF(D23:I23,"✓")</x:f>
        <x:v>0</x:v>
      </x:c>
    </x:row>
    <x:row r="24" ht="42" customHeight="1">
      <x:c r="A24" s="3" t="str">
        <x:v>S07</x:v>
      </x:c>
      <x:c r="B24" s="17" t="n">
        <x:v>46290</x:v>
      </x:c>
      <x:c r="C24" s="3" t="str">
        <x:v>Last day for Digital Launchpad bookings</x:v>
      </x:c>
      <x:c r="D24" s="31" t="str">
        <x:f>'Facebook'!A12</x:f>
        <x:v>☐</x:v>
      </x:c>
      <x:c r="E24" s="31" t="str">
        <x:f>'Instagram'!A12</x:f>
        <x:v>☐</x:v>
      </x:c>
      <x:c r="F24" s="31" t="str">
        <x:f>'LinkedIn'!A12</x:f>
        <x:v>☐</x:v>
      </x:c>
      <x:c r="G24" s="31" t="str">
        <x:f>'Google Business'!A12</x:f>
        <x:v>☐</x:v>
      </x:c>
      <x:c r="H24" s="31" t="str">
        <x:f>'Pinterest'!A12</x:f>
        <x:v>☐</x:v>
      </x:c>
      <x:c r="I24" s="31" t="str">
        <x:f>'WhatsApp Status'!A12</x:f>
        <x:v>☐</x:v>
      </x:c>
      <x:c r="J24" s="3" t="n">
        <x:f>COUNTIF(D24:I24,"✓")</x:f>
        <x:v>0</x:v>
      </x:c>
    </x:row>
    <x:row r="25" ht="42" customHeight="1">
      <x:c r="A25" s="3" t="str">
        <x:v>S08</x:v>
      </x:c>
      <x:c r="B25" s="17" t="n">
        <x:v>46294</x:v>
      </x:c>
      <x:c r="C25" s="3" t="str">
        <x:v>A Shopify store should feel like your business</x:v>
      </x:c>
      <x:c r="D25" s="31" t="str">
        <x:f>'Facebook'!A13</x:f>
        <x:v>☐</x:v>
      </x:c>
      <x:c r="E25" s="31" t="str">
        <x:f>'Instagram'!A13</x:f>
        <x:v>☐</x:v>
      </x:c>
      <x:c r="F25" s="31" t="str">
        <x:f>'LinkedIn'!A13</x:f>
        <x:v>☐</x:v>
      </x:c>
      <x:c r="G25" s="31" t="str">
        <x:f>'Google Business'!A13</x:f>
        <x:v>☐</x:v>
      </x:c>
      <x:c r="H25" s="31" t="str">
        <x:f>'Pinterest'!A13</x:f>
        <x:v>☐</x:v>
      </x:c>
      <x:c r="I25" s="31" t="str">
        <x:f>'WhatsApp Status'!A13</x:f>
        <x:v>☐</x:v>
      </x:c>
      <x:c r="J25" s="3" t="n">
        <x:f>COUNTIF(D25:I25,"✓")</x:f>
        <x:v>0</x:v>
      </x:c>
    </x:row>
    <x:row r="26" ht="42" customHeight="1">
      <x:c r="A26" s="3" t="str">
        <x:v>O01</x:v>
      </x:c>
      <x:c r="B26" s="17" t="n">
        <x:v>46297</x:v>
      </x:c>
      <x:c r="C26" s="3" t="str">
        <x:v>One link for your business details</x:v>
      </x:c>
      <x:c r="D26" s="31" t="str">
        <x:f>'Facebook'!A14</x:f>
        <x:v>☐</x:v>
      </x:c>
      <x:c r="E26" s="31" t="str">
        <x:f>'Instagram'!A14</x:f>
        <x:v>☐</x:v>
      </x:c>
      <x:c r="F26" s="31" t="str">
        <x:f>'LinkedIn'!A14</x:f>
        <x:v>☐</x:v>
      </x:c>
      <x:c r="G26" s="31" t="str">
        <x:f>'Google Business'!A14</x:f>
        <x:v>☐</x:v>
      </x:c>
      <x:c r="H26" s="31" t="str">
        <x:f>'Pinterest'!A14</x:f>
        <x:v>☐</x:v>
      </x:c>
      <x:c r="I26" s="31" t="str">
        <x:f>'WhatsApp Status'!A14</x:f>
        <x:v>☐</x:v>
      </x:c>
      <x:c r="J26" s="3" t="n">
        <x:f>COUNTIF(D26:I26,"✓")</x:f>
        <x:v>0</x:v>
      </x:c>
    </x:row>
    <x:row r="27" ht="42" customHeight="1">
      <x:c r="A27" s="3" t="str">
        <x:v>O02</x:v>
      </x:c>
      <x:c r="B27" s="17" t="n">
        <x:v>46301</x:v>
      </x:c>
      <x:c r="C27" s="3" t="str">
        <x:v>Connect the store to the work behind it</x:v>
      </x:c>
      <x:c r="D27" s="31" t="str">
        <x:f>'Facebook'!A15</x:f>
        <x:v>☐</x:v>
      </x:c>
      <x:c r="E27" s="31" t="str">
        <x:f>'Instagram'!A15</x:f>
        <x:v>☐</x:v>
      </x:c>
      <x:c r="F27" s="31" t="str">
        <x:f>'LinkedIn'!A15</x:f>
        <x:v>☐</x:v>
      </x:c>
      <x:c r="G27" s="31" t="str">
        <x:f>'Google Business'!A15</x:f>
        <x:v>☐</x:v>
      </x:c>
      <x:c r="H27" s="31" t="str">
        <x:f>'Pinterest'!A15</x:f>
        <x:v>☐</x:v>
      </x:c>
      <x:c r="I27" s="31" t="str">
        <x:f>'WhatsApp Status'!A15</x:f>
        <x:v>☐</x:v>
      </x:c>
      <x:c r="J27" s="3" t="n">
        <x:f>COUNTIF(D27:I27,"✓")</x:f>
        <x:v>0</x:v>
      </x:c>
    </x:row>
    <x:row r="28" ht="42" customHeight="1">
      <x:c r="A28" s="3" t="str">
        <x:v>O03</x:v>
      </x:c>
      <x:c r="B28" s="17" t="n">
        <x:v>46304</x:v>
      </x:c>
      <x:c r="C28" s="3" t="str">
        <x:v>Can your website be used without a mouse?</x:v>
      </x:c>
      <x:c r="D28" s="31" t="str">
        <x:f>'Facebook'!A16</x:f>
        <x:v>☐</x:v>
      </x:c>
      <x:c r="E28" s="31" t="str">
        <x:f>'Instagram'!A16</x:f>
        <x:v>☐</x:v>
      </x:c>
      <x:c r="F28" s="31" t="str">
        <x:f>'LinkedIn'!A16</x:f>
        <x:v>☐</x:v>
      </x:c>
      <x:c r="G28" s="31" t="str">
        <x:f>'Google Business'!A16</x:f>
        <x:v>☐</x:v>
      </x:c>
      <x:c r="H28" s="31" t="str">
        <x:f>'Pinterest'!A16</x:f>
        <x:v>☐</x:v>
      </x:c>
      <x:c r="I28" s="31" t="str">
        <x:f>'WhatsApp Status'!A16</x:f>
        <x:v>☐</x:v>
      </x:c>
      <x:c r="J28" s="3" t="n">
        <x:f>COUNTIF(D28:I28,"✓")</x:f>
        <x:v>0</x:v>
      </x:c>
    </x:row>
    <x:row r="29" ht="42" customHeight="1">
      <x:c r="A29" s="3" t="str">
        <x:v>O04</x:v>
      </x:c>
      <x:c r="B29" s="17" t="n">
        <x:v>46308</x:v>
      </x:c>
      <x:c r="C29" s="3" t="str">
        <x:v>Help us test a simpler business introduction</x:v>
      </x:c>
      <x:c r="D29" s="31" t="str">
        <x:f>'Facebook'!A17</x:f>
        <x:v>☐</x:v>
      </x:c>
      <x:c r="E29" s="31" t="str">
        <x:f>'Instagram'!A17</x:f>
        <x:v>☐</x:v>
      </x:c>
      <x:c r="F29" s="31" t="str">
        <x:f>'LinkedIn'!A17</x:f>
        <x:v>☐</x:v>
      </x:c>
      <x:c r="G29" s="31" t="str">
        <x:f>'Google Business'!A17</x:f>
        <x:v>☐</x:v>
      </x:c>
      <x:c r="H29" s="31" t="str">
        <x:f>'Pinterest'!A17</x:f>
        <x:v>☐</x:v>
      </x:c>
      <x:c r="I29" s="31" t="str">
        <x:f>'WhatsApp Status'!A17</x:f>
        <x:v>☐</x:v>
      </x:c>
      <x:c r="J29" s="3" t="n">
        <x:f>COUNTIF(D29:I29,"✓")</x:f>
        <x:v>0</x:v>
      </x:c>
    </x:row>
    <x:row r="30" ht="42" customHeight="1">
      <x:c r="A30" s="3" t="str">
        <x:v>O05</x:v>
      </x:c>
      <x:c r="B30" s="17" t="n">
        <x:v>46311</x:v>
      </x:c>
      <x:c r="C30" s="3" t="str">
        <x:v>What should a website quote explain?</x:v>
      </x:c>
      <x:c r="D30" s="31" t="str">
        <x:f>'Facebook'!A18</x:f>
        <x:v>☐</x:v>
      </x:c>
      <x:c r="E30" s="31" t="str">
        <x:f>'Instagram'!A18</x:f>
        <x:v>☐</x:v>
      </x:c>
      <x:c r="F30" s="31" t="str">
        <x:f>'LinkedIn'!A18</x:f>
        <x:v>☐</x:v>
      </x:c>
      <x:c r="G30" s="31" t="str">
        <x:f>'Google Business'!A18</x:f>
        <x:v>☐</x:v>
      </x:c>
      <x:c r="H30" s="31" t="str">
        <x:f>'Pinterest'!A18</x:f>
        <x:v>☐</x:v>
      </x:c>
      <x:c r="I30" s="31" t="str">
        <x:f>'WhatsApp Status'!A18</x:f>
        <x:v>☐</x:v>
      </x:c>
      <x:c r="J30" s="3" t="n">
        <x:f>COUNTIF(D30:I30,"✓")</x:f>
        <x:v>0</x:v>
      </x:c>
    </x:row>
    <x:row r="31" ht="42" customHeight="1">
      <x:c r="A31" s="3" t="str">
        <x:v>O06</x:v>
      </x:c>
      <x:c r="B31" s="17" t="n">
        <x:v>46315</x:v>
      </x:c>
      <x:c r="C31" s="3" t="str">
        <x:v>Shopify, WooCommerce or Medusa.js?</x:v>
      </x:c>
      <x:c r="D31" s="31" t="str">
        <x:f>'Facebook'!A19</x:f>
        <x:v>☐</x:v>
      </x:c>
      <x:c r="E31" s="31" t="str">
        <x:f>'Instagram'!A19</x:f>
        <x:v>☐</x:v>
      </x:c>
      <x:c r="F31" s="31" t="str">
        <x:f>'LinkedIn'!A19</x:f>
        <x:v>☐</x:v>
      </x:c>
      <x:c r="G31" s="31" t="str">
        <x:f>'Google Business'!A19</x:f>
        <x:v>☐</x:v>
      </x:c>
      <x:c r="H31" s="31" t="str">
        <x:f>'Pinterest'!A19</x:f>
        <x:v>☐</x:v>
      </x:c>
      <x:c r="I31" s="31" t="str">
        <x:f>'WhatsApp Status'!A19</x:f>
        <x:v>☐</x:v>
      </x:c>
      <x:c r="J31" s="3" t="n">
        <x:f>COUNTIF(D31:I31,"✓")</x:f>
        <x:v>0</x:v>
      </x:c>
    </x:row>
    <x:row r="32" ht="42" customHeight="1">
      <x:c r="A32" s="3" t="str">
        <x:v>O07</x:v>
      </x:c>
      <x:c r="B32" s="17" t="n">
        <x:v>46318</x:v>
      </x:c>
      <x:c r="C32" s="3" t="str">
        <x:v>A local business website starts with real questions</x:v>
      </x:c>
      <x:c r="D32" s="31" t="str">
        <x:f>'Facebook'!A20</x:f>
        <x:v>☐</x:v>
      </x:c>
      <x:c r="E32" s="31" t="str">
        <x:f>'Instagram'!A20</x:f>
        <x:v>☐</x:v>
      </x:c>
      <x:c r="F32" s="31" t="str">
        <x:f>'LinkedIn'!A20</x:f>
        <x:v>☐</x:v>
      </x:c>
      <x:c r="G32" s="31" t="str">
        <x:f>'Google Business'!A20</x:f>
        <x:v>☐</x:v>
      </x:c>
      <x:c r="H32" s="31" t="str">
        <x:f>'Pinterest'!A20</x:f>
        <x:v>☐</x:v>
      </x:c>
      <x:c r="I32" s="31" t="str">
        <x:f>'WhatsApp Status'!A20</x:f>
        <x:v>☐</x:v>
      </x:c>
      <x:c r="J32" s="3" t="n">
        <x:f>COUNTIF(D32:I32,"✓")</x:f>
        <x:v>0</x:v>
      </x:c>
    </x:row>
    <x:row r="33" ht="42" customHeight="1">
      <x:c r="A33" s="3" t="str">
        <x:v>O08</x:v>
      </x:c>
      <x:c r="B33" s="17" t="n">
        <x:v>46322</x:v>
      </x:c>
      <x:c r="C33" s="3" t="str">
        <x:v>Four checkout checks before your next promotion</x:v>
      </x:c>
      <x:c r="D33" s="31" t="str">
        <x:f>'Facebook'!A21</x:f>
        <x:v>☐</x:v>
      </x:c>
      <x:c r="E33" s="31" t="str">
        <x:f>'Instagram'!A21</x:f>
        <x:v>☐</x:v>
      </x:c>
      <x:c r="F33" s="31" t="str">
        <x:f>'LinkedIn'!A21</x:f>
        <x:v>☐</x:v>
      </x:c>
      <x:c r="G33" s="31" t="str">
        <x:f>'Google Business'!A21</x:f>
        <x:v>☐</x:v>
      </x:c>
      <x:c r="H33" s="31" t="str">
        <x:f>'Pinterest'!A21</x:f>
        <x:v>☐</x:v>
      </x:c>
      <x:c r="I33" s="31" t="str">
        <x:f>'WhatsApp Status'!A21</x:f>
        <x:v>☐</x:v>
      </x:c>
      <x:c r="J33" s="3" t="n">
        <x:f>COUNTIF(D33:I33,"✓")</x:f>
        <x:v>0</x:v>
      </x:c>
    </x:row>
    <x:row r="34" ht="42" customHeight="1">
      <x:c r="A34" s="3" t="str">
        <x:v>O09</x:v>
      </x:c>
      <x:c r="B34" s="17" t="n">
        <x:v>46325</x:v>
      </x:c>
      <x:c r="C34" s="3" t="str">
        <x:v>What makes a digital card easy to use?</x:v>
      </x:c>
      <x:c r="D34" s="31" t="str">
        <x:f>'Facebook'!A22</x:f>
        <x:v>☐</x:v>
      </x:c>
      <x:c r="E34" s="31" t="str">
        <x:f>'Instagram'!A22</x:f>
        <x:v>☐</x:v>
      </x:c>
      <x:c r="F34" s="31" t="str">
        <x:f>'LinkedIn'!A22</x:f>
        <x:v>☐</x:v>
      </x:c>
      <x:c r="G34" s="31" t="str">
        <x:f>'Google Business'!A22</x:f>
        <x:v>☐</x:v>
      </x:c>
      <x:c r="H34" s="31" t="str">
        <x:f>'Pinterest'!A22</x:f>
        <x:v>☐</x:v>
      </x:c>
      <x:c r="I34" s="31" t="str">
        <x:f>'WhatsApp Status'!A22</x:f>
        <x:v>☐</x:v>
      </x:c>
      <x:c r="J34" s="3" t="n">
        <x:f>COUNTIF(D34:I34,"✓")</x:f>
        <x:v>0</x:v>
      </x:c>
    </x:row>
    <x:row r="35" ht="42" customHeight="1">
      <x:c r="A35" s="3" t="str">
        <x:v>N01</x:v>
      </x:c>
      <x:c r="B35" s="17" t="n">
        <x:v>46329</x:v>
      </x:c>
      <x:c r="C35" s="3" t="str">
        <x:v>Accessibility audit and remediation are different</x:v>
      </x:c>
      <x:c r="D35" s="31" t="str">
        <x:f>'Facebook'!A23</x:f>
        <x:v>☐</x:v>
      </x:c>
      <x:c r="E35" s="31" t="str">
        <x:f>'Instagram'!A23</x:f>
        <x:v>☐</x:v>
      </x:c>
      <x:c r="F35" s="31" t="str">
        <x:f>'LinkedIn'!A23</x:f>
        <x:v>☐</x:v>
      </x:c>
      <x:c r="G35" s="31" t="str">
        <x:f>'Google Business'!A23</x:f>
        <x:v>☐</x:v>
      </x:c>
      <x:c r="H35" s="31" t="str">
        <x:f>'Pinterest'!A23</x:f>
        <x:v>☐</x:v>
      </x:c>
      <x:c r="I35" s="31" t="str">
        <x:f>'WhatsApp Status'!A23</x:f>
        <x:v>☐</x:v>
      </x:c>
      <x:c r="J35" s="3" t="n">
        <x:f>COUNTIF(D35:I35,"✓")</x:f>
        <x:v>0</x:v>
      </x:c>
    </x:row>
    <x:row r="36" ht="42" customHeight="1">
      <x:c r="A36" s="3" t="str">
        <x:v>N02</x:v>
      </x:c>
      <x:c r="B36" s="17" t="n">
        <x:v>46332</x:v>
      </x:c>
      <x:c r="C36" s="3" t="str">
        <x:v>Digital card or website: which do you need?</x:v>
      </x:c>
      <x:c r="D36" s="31" t="str">
        <x:f>'Facebook'!A24</x:f>
        <x:v>☐</x:v>
      </x:c>
      <x:c r="E36" s="31" t="str">
        <x:f>'Instagram'!A24</x:f>
        <x:v>☐</x:v>
      </x:c>
      <x:c r="F36" s="31" t="str">
        <x:f>'LinkedIn'!A24</x:f>
        <x:v>☐</x:v>
      </x:c>
      <x:c r="G36" s="31" t="str">
        <x:f>'Google Business'!A24</x:f>
        <x:v>☐</x:v>
      </x:c>
      <x:c r="H36" s="31" t="str">
        <x:f>'Pinterest'!A24</x:f>
        <x:v>☐</x:v>
      </x:c>
      <x:c r="I36" s="31" t="str">
        <x:f>'WhatsApp Status'!A24</x:f>
        <x:v>☐</x:v>
      </x:c>
      <x:c r="J36" s="3" t="n">
        <x:f>COUNTIF(D36:I36,"✓")</x:f>
        <x:v>0</x:v>
      </x:c>
    </x:row>
    <x:row r="37" ht="42" customHeight="1">
      <x:c r="A37" s="3" t="str">
        <x:v>N03</x:v>
      </x:c>
      <x:c r="B37" s="17" t="n">
        <x:v>46336</x:v>
      </x:c>
      <x:c r="C37" s="3" t="str">
        <x:v>Meet our digital business card</x:v>
      </x:c>
      <x:c r="D37" s="31" t="str">
        <x:f>'Facebook'!A25</x:f>
        <x:v>☐</x:v>
      </x:c>
      <x:c r="E37" s="31" t="str">
        <x:f>'Instagram'!A25</x:f>
        <x:v>☐</x:v>
      </x:c>
      <x:c r="F37" s="31" t="str">
        <x:f>'LinkedIn'!A25</x:f>
        <x:v>☐</x:v>
      </x:c>
      <x:c r="G37" s="31" t="str">
        <x:f>'Google Business'!A25</x:f>
        <x:v>☐</x:v>
      </x:c>
      <x:c r="H37" s="31" t="str">
        <x:f>'Pinterest'!A25</x:f>
        <x:v>☐</x:v>
      </x:c>
      <x:c r="I37" s="31" t="str">
        <x:f>'WhatsApp Status'!A25</x:f>
        <x:v>☐</x:v>
      </x:c>
      <x:c r="J37" s="3" t="n">
        <x:f>COUNTIF(D37:I37,"✓")</x:f>
        <x:v>0</x:v>
      </x:c>
    </x:row>
    <x:row r="38" ht="42" customHeight="1">
      <x:c r="A38" s="3" t="str">
        <x:v>N04</x:v>
      </x:c>
      <x:c r="B38" s="17" t="n">
        <x:v>46339</x:v>
      </x:c>
      <x:c r="C38" s="3" t="str">
        <x:v>From signup to your first shared card</x:v>
      </x:c>
      <x:c r="D38" s="31" t="str">
        <x:f>'Facebook'!A26</x:f>
        <x:v>☐</x:v>
      </x:c>
      <x:c r="E38" s="31" t="str">
        <x:f>'Instagram'!A26</x:f>
        <x:v>☐</x:v>
      </x:c>
      <x:c r="F38" s="31" t="str">
        <x:f>'LinkedIn'!A26</x:f>
        <x:v>☐</x:v>
      </x:c>
      <x:c r="G38" s="31" t="str">
        <x:f>'Google Business'!A26</x:f>
        <x:v>☐</x:v>
      </x:c>
      <x:c r="H38" s="31" t="str">
        <x:f>'Pinterest'!A26</x:f>
        <x:v>☐</x:v>
      </x:c>
      <x:c r="I38" s="31" t="str">
        <x:f>'WhatsApp Status'!A26</x:f>
        <x:v>☐</x:v>
      </x:c>
      <x:c r="J38" s="3" t="n">
        <x:f>COUNTIF(D38:I38,"✓")</x:f>
        <x:v>0</x:v>
      </x:c>
    </x:row>
    <x:row r="39" ht="42" customHeight="1">
      <x:c r="A39" s="3" t="str">
        <x:v>N05</x:v>
      </x:c>
      <x:c r="B39" s="17" t="n">
        <x:v>46343</x:v>
      </x:c>
      <x:c r="C39" s="3" t="str">
        <x:v>What affects custom Medusa.js development cost?</x:v>
      </x:c>
      <x:c r="D39" s="31" t="str">
        <x:f>'Facebook'!A27</x:f>
        <x:v>☐</x:v>
      </x:c>
      <x:c r="E39" s="31" t="str">
        <x:f>'Instagram'!A27</x:f>
        <x:v>☐</x:v>
      </x:c>
      <x:c r="F39" s="31" t="str">
        <x:f>'LinkedIn'!A27</x:f>
        <x:v>☐</x:v>
      </x:c>
      <x:c r="G39" s="31" t="str">
        <x:f>'Google Business'!A27</x:f>
        <x:v>☐</x:v>
      </x:c>
      <x:c r="H39" s="31" t="str">
        <x:f>'Pinterest'!A27</x:f>
        <x:v>☐</x:v>
      </x:c>
      <x:c r="I39" s="31" t="str">
        <x:f>'WhatsApp Status'!A27</x:f>
        <x:v>☐</x:v>
      </x:c>
      <x:c r="J39" s="3" t="n">
        <x:f>COUNTIF(D39:I39,"✓")</x:f>
        <x:v>0</x:v>
      </x:c>
    </x:row>
    <x:row r="40" ht="42" customHeight="1">
      <x:c r="A40" s="3" t="str">
        <x:v>N06</x:v>
      </x:c>
      <x:c r="B40" s="17" t="n">
        <x:v>46346</x:v>
      </x:c>
      <x:c r="C40" s="3" t="str">
        <x:v>After a meeting, send a useful introduction</x:v>
      </x:c>
      <x:c r="D40" s="31" t="str">
        <x:f>'Facebook'!A28</x:f>
        <x:v>☐</x:v>
      </x:c>
      <x:c r="E40" s="31" t="str">
        <x:f>'Instagram'!A28</x:f>
        <x:v>☐</x:v>
      </x:c>
      <x:c r="F40" s="31" t="str">
        <x:f>'LinkedIn'!A28</x:f>
        <x:v>☐</x:v>
      </x:c>
      <x:c r="G40" s="31" t="str">
        <x:f>'Google Business'!A28</x:f>
        <x:v>☐</x:v>
      </x:c>
      <x:c r="H40" s="31" t="str">
        <x:f>'Pinterest'!A28</x:f>
        <x:v>☐</x:v>
      </x:c>
      <x:c r="I40" s="31" t="str">
        <x:f>'WhatsApp Status'!A28</x:f>
        <x:v>☐</x:v>
      </x:c>
      <x:c r="J40" s="3" t="n">
        <x:f>COUNTIF(D40:I40,"✓")</x:f>
        <x:v>0</x:v>
      </x:c>
    </x:row>
    <x:row r="41" ht="42" customHeight="1">
      <x:c r="A41" s="3" t="str">
        <x:v>N07</x:v>
      </x:c>
      <x:c r="B41" s="17" t="n">
        <x:v>46350</x:v>
      </x:c>
      <x:c r="C41" s="3" t="str">
        <x:v>A portal shaped around your organisation</x:v>
      </x:c>
      <x:c r="D41" s="31" t="str">
        <x:f>'Facebook'!A29</x:f>
        <x:v>☐</x:v>
      </x:c>
      <x:c r="E41" s="31" t="str">
        <x:f>'Instagram'!A29</x:f>
        <x:v>☐</x:v>
      </x:c>
      <x:c r="F41" s="31" t="str">
        <x:f>'LinkedIn'!A29</x:f>
        <x:v>☐</x:v>
      </x:c>
      <x:c r="G41" s="31" t="str">
        <x:f>'Google Business'!A29</x:f>
        <x:v>☐</x:v>
      </x:c>
      <x:c r="H41" s="31" t="str">
        <x:f>'Pinterest'!A29</x:f>
        <x:v>☐</x:v>
      </x:c>
      <x:c r="I41" s="31" t="str">
        <x:f>'WhatsApp Status'!A29</x:f>
        <x:v>☐</x:v>
      </x:c>
      <x:c r="J41" s="3" t="n">
        <x:f>COUNTIF(D41:I41,"✓")</x:f>
        <x:v>0</x:v>
      </x:c>
    </x:row>
    <x:row r="42" ht="42" customHeight="1">
      <x:c r="A42" s="3" t="str">
        <x:v>N08</x:v>
      </x:c>
      <x:c r="B42" s="17" t="n">
        <x:v>46353</x:v>
      </x:c>
      <x:c r="C42" s="3" t="str">
        <x:v>Paper and digital cards can work together</x:v>
      </x:c>
      <x:c r="D42" s="31" t="str">
        <x:f>'Facebook'!A30</x:f>
        <x:v>☐</x:v>
      </x:c>
      <x:c r="E42" s="31" t="str">
        <x:f>'Instagram'!A30</x:f>
        <x:v>☐</x:v>
      </x:c>
      <x:c r="F42" s="31" t="str">
        <x:f>'LinkedIn'!A30</x:f>
        <x:v>☐</x:v>
      </x:c>
      <x:c r="G42" s="31" t="str">
        <x:f>'Google Business'!A30</x:f>
        <x:v>☐</x:v>
      </x:c>
      <x:c r="H42" s="31" t="str">
        <x:f>'Pinterest'!A30</x:f>
        <x:v>☐</x:v>
      </x:c>
      <x:c r="I42" s="31" t="str">
        <x:f>'WhatsApp Status'!A30</x:f>
        <x:v>☐</x:v>
      </x:c>
      <x:c r="J42" s="3" t="n">
        <x:f>COUNTIF(D42:I42,"✓")</x:f>
        <x:v>0</x:v>
      </x:c>
    </x:row>
    <x:row r="43" ht="42" customHeight="1">
      <x:c r="A43" s="3" t="str">
        <x:v>D01</x:v>
      </x:c>
      <x:c r="B43" s="17" t="n">
        <x:v>46357</x:v>
      </x:c>
      <x:c r="C43" s="3" t="str">
        <x:v>What responsive website support looks like</x:v>
      </x:c>
      <x:c r="D43" s="31" t="str">
        <x:f>'Facebook'!A31</x:f>
        <x:v>☐</x:v>
      </x:c>
      <x:c r="E43" s="31" t="str">
        <x:f>'Instagram'!A31</x:f>
        <x:v>☐</x:v>
      </x:c>
      <x:c r="F43" s="31" t="str">
        <x:f>'LinkedIn'!A31</x:f>
        <x:v>☐</x:v>
      </x:c>
      <x:c r="G43" s="31" t="str">
        <x:f>'Google Business'!A31</x:f>
        <x:v>☐</x:v>
      </x:c>
      <x:c r="H43" s="31" t="str">
        <x:f>'Pinterest'!A31</x:f>
        <x:v>☐</x:v>
      </x:c>
      <x:c r="I43" s="31" t="str">
        <x:f>'WhatsApp Status'!A31</x:f>
        <x:v>☐</x:v>
      </x:c>
      <x:c r="J43" s="3" t="n">
        <x:f>COUNTIF(D43:I43,"✓")</x:f>
        <x:v>0</x:v>
      </x:c>
    </x:row>
    <x:row r="44" ht="42" customHeight="1">
      <x:c r="A44" s="3" t="str">
        <x:v>D02</x:v>
      </x:c>
      <x:c r="B44" s="17" t="n">
        <x:v>46359</x:v>
      </x:c>
      <x:c r="C44" s="3" t="str">
        <x:v>Digital access should work for more people</x:v>
      </x:c>
      <x:c r="D44" s="31" t="str">
        <x:f>'Facebook'!A32</x:f>
        <x:v>☐</x:v>
      </x:c>
      <x:c r="E44" s="31" t="str">
        <x:f>'Instagram'!A32</x:f>
        <x:v>☐</x:v>
      </x:c>
      <x:c r="F44" s="31" t="str">
        <x:f>'LinkedIn'!A32</x:f>
        <x:v>☐</x:v>
      </x:c>
      <x:c r="G44" s="31" t="str">
        <x:f>'Google Business'!A32</x:f>
        <x:v>☐</x:v>
      </x:c>
      <x:c r="H44" s="31" t="str">
        <x:f>'Pinterest'!A32</x:f>
        <x:v>☐</x:v>
      </x:c>
      <x:c r="I44" s="31" t="str">
        <x:f>'WhatsApp Status'!A32</x:f>
        <x:v>☐</x:v>
      </x:c>
      <x:c r="J44" s="3" t="n">
        <x:f>COUNTIF(D44:I44,"✓")</x:f>
        <x:v>0</x:v>
      </x:c>
    </x:row>
    <x:row r="45" ht="42" customHeight="1">
      <x:c r="A45" s="3" t="str">
        <x:v>D03</x:v>
      </x:c>
      <x:c r="B45" s="17" t="n">
        <x:v>46364</x:v>
      </x:c>
      <x:c r="C45" s="3" t="str">
        <x:v>Are your business details ready for 2027?</x:v>
      </x:c>
      <x:c r="D45" s="31" t="str">
        <x:f>'Facebook'!A33</x:f>
        <x:v>☐</x:v>
      </x:c>
      <x:c r="E45" s="31" t="str">
        <x:f>'Instagram'!A33</x:f>
        <x:v>☐</x:v>
      </x:c>
      <x:c r="F45" s="31" t="str">
        <x:f>'LinkedIn'!A33</x:f>
        <x:v>☐</x:v>
      </x:c>
      <x:c r="G45" s="31" t="str">
        <x:f>'Google Business'!A33</x:f>
        <x:v>☐</x:v>
      </x:c>
      <x:c r="H45" s="31" t="str">
        <x:f>'Pinterest'!A33</x:f>
        <x:v>☐</x:v>
      </x:c>
      <x:c r="I45" s="31" t="str">
        <x:f>'WhatsApp Status'!A33</x:f>
        <x:v>☐</x:v>
      </x:c>
      <x:c r="J45" s="3" t="n">
        <x:f>COUNTIF(D45:I45,"✓")</x:f>
        <x:v>0</x:v>
      </x:c>
    </x:row>
    <x:row r="46" ht="42" customHeight="1">
      <x:c r="A46" s="3" t="str">
        <x:v>D04</x:v>
      </x:c>
      <x:c r="B46" s="17" t="n">
        <x:v>46367</x:v>
      </x:c>
      <x:c r="C46" s="3" t="str">
        <x:v>Plan your 2027 website before the rush</x:v>
      </x:c>
      <x:c r="D46" s="31" t="str">
        <x:f>'Facebook'!A34</x:f>
        <x:v>☐</x:v>
      </x:c>
      <x:c r="E46" s="31" t="str">
        <x:f>'Instagram'!A34</x:f>
        <x:v>☐</x:v>
      </x:c>
      <x:c r="F46" s="31" t="str">
        <x:f>'LinkedIn'!A34</x:f>
        <x:v>☐</x:v>
      </x:c>
      <x:c r="G46" s="31" t="str">
        <x:f>'Google Business'!A34</x:f>
        <x:v>☐</x:v>
      </x:c>
      <x:c r="H46" s="31" t="str">
        <x:f>'Pinterest'!A34</x:f>
        <x:v>☐</x:v>
      </x:c>
      <x:c r="I46" s="31" t="str">
        <x:f>'WhatsApp Status'!A34</x:f>
        <x:v>☐</x:v>
      </x:c>
      <x:c r="J46" s="3" t="n">
        <x:f>COUNTIF(D46:I46,"✓")</x:f>
        <x:v>0</x:v>
      </x:c>
    </x:row>
    <x:row r="47" ht="42" customHeight="1">
      <x:c r="A47" s="3" t="str">
        <x:v>D05</x:v>
      </x:c>
      <x:c r="B47" s="17" t="n">
        <x:v>46371</x:v>
      </x:c>
      <x:c r="C47" s="3" t="str">
        <x:v>A custom commerce workflow, explained simply</x:v>
      </x:c>
      <x:c r="D47" s="31" t="str">
        <x:f>'Facebook'!A35</x:f>
        <x:v>☐</x:v>
      </x:c>
      <x:c r="E47" s="31" t="str">
        <x:f>'Instagram'!A35</x:f>
        <x:v>☐</x:v>
      </x:c>
      <x:c r="F47" s="31" t="str">
        <x:f>'LinkedIn'!A35</x:f>
        <x:v>☐</x:v>
      </x:c>
      <x:c r="G47" s="31" t="str">
        <x:f>'Google Business'!A35</x:f>
        <x:v>☐</x:v>
      </x:c>
      <x:c r="H47" s="31" t="str">
        <x:f>'Pinterest'!A35</x:f>
        <x:v>☐</x:v>
      </x:c>
      <x:c r="I47" s="31" t="str">
        <x:f>'WhatsApp Status'!A35</x:f>
        <x:v>☐</x:v>
      </x:c>
      <x:c r="J47" s="3" t="n">
        <x:f>COUNTIF(D47:I47,"✓")</x:f>
        <x:v>0</x:v>
      </x:c>
    </x:row>
    <x:row r="48" ht="42" customHeight="1">
      <x:c r="A48" s="3" t="str">
        <x:v>D06</x:v>
      </x:c>
      <x:c r="B48" s="17" t="n">
        <x:v>46374</x:v>
      </x:c>
      <x:c r="C48" s="3" t="str">
        <x:v>Read the subscription details before you choose</x:v>
      </x:c>
      <x:c r="D48" s="31" t="str">
        <x:f>'Facebook'!A36</x:f>
        <x:v>☐</x:v>
      </x:c>
      <x:c r="E48" s="31" t="str">
        <x:f>'Instagram'!A36</x:f>
        <x:v>☐</x:v>
      </x:c>
      <x:c r="F48" s="31" t="str">
        <x:f>'LinkedIn'!A36</x:f>
        <x:v>☐</x:v>
      </x:c>
      <x:c r="G48" s="31" t="str">
        <x:f>'Google Business'!A36</x:f>
        <x:v>☐</x:v>
      </x:c>
      <x:c r="H48" s="31" t="str">
        <x:f>'Pinterest'!A36</x:f>
        <x:v>☐</x:v>
      </x:c>
      <x:c r="I48" s="31" t="str">
        <x:f>'WhatsApp Status'!A36</x:f>
        <x:v>☐</x:v>
      </x:c>
      <x:c r="J48" s="3" t="n">
        <x:f>COUNTIF(D48:I48,"✓")</x:f>
        <x:v>0</x:v>
      </x:c>
    </x:row>
    <x:row r="49" ht="42" customHeight="1">
      <x:c r="A49" s="3" t="str">
        <x:v>D07</x:v>
      </x:c>
      <x:c r="B49" s="17" t="n">
        <x:v>46378</x:v>
      </x:c>
      <x:c r="C49" s="3" t="str">
        <x:v>Small website details worth getting right</x:v>
      </x:c>
      <x:c r="D49" s="31" t="str">
        <x:f>'Facebook'!A37</x:f>
        <x:v>☐</x:v>
      </x:c>
      <x:c r="E49" s="31" t="str">
        <x:f>'Instagram'!A37</x:f>
        <x:v>☐</x:v>
      </x:c>
      <x:c r="F49" s="31" t="str">
        <x:f>'LinkedIn'!A37</x:f>
        <x:v>☐</x:v>
      </x:c>
      <x:c r="G49" s="31" t="str">
        <x:f>'Google Business'!A37</x:f>
        <x:v>☐</x:v>
      </x:c>
      <x:c r="H49" s="31" t="str">
        <x:f>'Pinterest'!A37</x:f>
        <x:v>☐</x:v>
      </x:c>
      <x:c r="I49" s="31" t="str">
        <x:f>'WhatsApp Status'!A37</x:f>
        <x:v>☐</x:v>
      </x:c>
      <x:c r="J49" s="3" t="n">
        <x:f>COUNTIF(D49:I49,"✓")</x:f>
        <x:v>0</x:v>
      </x:c>
    </x:row>
    <x:row r="50" ht="42" customHeight="1">
      <x:c r="A50" s="3" t="str">
        <x:v>D08</x:v>
      </x:c>
      <x:c r="B50" s="17" t="n">
        <x:v>46381</x:v>
      </x:c>
      <x:c r="C50" s="3" t="str">
        <x:v>Wishing you a warm and peaceful Christmas</x:v>
      </x:c>
      <x:c r="D50" s="31" t="str">
        <x:f>'Facebook'!A38</x:f>
        <x:v>☐</x:v>
      </x:c>
      <x:c r="E50" s="31" t="str">
        <x:f>'Instagram'!A38</x:f>
        <x:v>☐</x:v>
      </x:c>
      <x:c r="F50" s="31" t="str">
        <x:f>'LinkedIn'!A38</x:f>
        <x:v>☐</x:v>
      </x:c>
      <x:c r="G50" s="31" t="str">
        <x:f>'Google Business'!A38</x:f>
        <x:v>☐</x:v>
      </x:c>
      <x:c r="H50" s="31" t="str">
        <x:f>'Pinterest'!A38</x:f>
        <x:v>☐</x:v>
      </x:c>
      <x:c r="I50" s="31" t="str">
        <x:f>'WhatsApp Status'!A38</x:f>
        <x:v>☐</x:v>
      </x:c>
      <x:c r="J50" s="3" t="n">
        <x:f>COUNTIF(D50:I50,"✓")</x:f>
        <x:v>0</x:v>
      </x:c>
    </x:row>
    <x:row r="51" ht="42" customHeight="1">
      <x:c r="A51" s="3" t="str">
        <x:v>D09</x:v>
      </x:c>
      <x:c r="B51" s="17" t="n">
        <x:v>46385</x:v>
      </x:c>
      <x:c r="C51" s="3" t="str">
        <x:v>What should work better for your business next year?</x:v>
      </x:c>
      <x:c r="D51" s="31" t="str">
        <x:f>'Facebook'!A39</x:f>
        <x:v>☐</x:v>
      </x:c>
      <x:c r="E51" s="31" t="str">
        <x:f>'Instagram'!A39</x:f>
        <x:v>☐</x:v>
      </x:c>
      <x:c r="F51" s="31" t="str">
        <x:f>'LinkedIn'!A39</x:f>
        <x:v>☐</x:v>
      </x:c>
      <x:c r="G51" s="31" t="str">
        <x:f>'Google Business'!A39</x:f>
        <x:v>☐</x:v>
      </x:c>
      <x:c r="H51" s="31" t="str">
        <x:f>'Pinterest'!A39</x:f>
        <x:v>☐</x:v>
      </x:c>
      <x:c r="I51" s="31" t="str">
        <x:f>'WhatsApp Status'!A39</x:f>
        <x:v>☐</x:v>
      </x:c>
      <x:c r="J51" s="3" t="n">
        <x:f>COUNTIF(D51:I51,"✓")</x:f>
        <x:v>0</x:v>
      </x:c>
    </x:row>
    <x:row r="52" ht="42" customHeight="1">
      <x:c r="A52" s="3" t="str">
        <x:v>D10</x:v>
      </x:c>
      <x:c r="B52" s="17" t="n">
        <x:v>46387</x:v>
      </x:c>
      <x:c r="C52" s="3" t="str">
        <x:v>Thank you for being part of our year</x:v>
      </x:c>
      <x:c r="D52" s="31" t="str">
        <x:f>'Facebook'!A40</x:f>
        <x:v>☐</x:v>
      </x:c>
      <x:c r="E52" s="31" t="str">
        <x:f>'Instagram'!A40</x:f>
        <x:v>☐</x:v>
      </x:c>
      <x:c r="F52" s="31" t="str">
        <x:f>'LinkedIn'!A40</x:f>
        <x:v>☐</x:v>
      </x:c>
      <x:c r="G52" s="31" t="str">
        <x:f>'Google Business'!A40</x:f>
        <x:v>☐</x:v>
      </x:c>
      <x:c r="H52" s="31" t="str">
        <x:f>'Pinterest'!A40</x:f>
        <x:v>☐</x:v>
      </x:c>
      <x:c r="I52" s="31" t="str">
        <x:f>'WhatsApp Status'!A40</x:f>
        <x:v>☐</x:v>
      </x:c>
      <x:c r="J52" s="3" t="n">
        <x:f>COUNTIF(D52:I52,"✓")</x:f>
        <x:v>0</x:v>
      </x:c>
    </x:row>
    <x:row r="53">
      <x:c r="A53" s="3"/>
      <x:c r="B53" s="3"/>
      <x:c r="C53" s="3"/>
      <x:c r="D53" s="3"/>
      <x:c r="E53" s="3"/>
      <x:c r="F53" s="3"/>
      <x:c r="G53" s="3"/>
      <x:c r="H53" s="3"/>
      <x:c r="I53" s="3"/>
      <x:c r="J53" s="3"/>
    </x:row>
    <x:row r="54">
      <x:c r="A54" s="3"/>
      <x:c r="B54" s="3"/>
      <x:c r="C54" s="3"/>
      <x:c r="D54" s="3"/>
      <x:c r="E54" s="3"/>
      <x:c r="F54" s="3"/>
      <x:c r="G54" s="3"/>
      <x:c r="H54" s="3"/>
      <x:c r="I54" s="3"/>
      <x:c r="J54" s="3"/>
    </x:row>
    <x:row r="55">
      <x:c r="A55" s="3" t="str">
        <x:v>WhatsApp messages sent</x:v>
      </x:c>
      <x:c r="B55" s="3"/>
      <x:c r="C55" s="3"/>
      <x:c r="D55" s="3" t="n">
        <x:f>COUNTIF('WhatsApp Outreach'!A6:A19,"✓")</x:f>
        <x:v>0</x:v>
      </x:c>
      <x:c r="E55" s="3" t="n">
        <x:v>14</x:v>
      </x:c>
      <x:c r="F55" s="3"/>
      <x:c r="G55" s="3"/>
      <x:c r="H55" s="3"/>
      <x:c r="I55" s="3"/>
      <x:c r="J55" s="3"/>
    </x:row>
    <x:row r="56">
      <x:c r="A56" s="3" t="str">
        <x:v>Creative masters ready</x:v>
      </x:c>
      <x:c r="B56" s="3"/>
      <x:c r="C56" s="3"/>
      <x:c r="D56" s="3" t="n">
        <x:f>COUNTIF('Creative Briefs'!J6:J40,"✓")</x:f>
        <x:v>0</x:v>
      </x:c>
      <x:c r="E56" s="3" t="n">
        <x:v>35</x:v>
      </x:c>
      <x:c r="F56" s="3"/>
      <x:c r="G56" s="3"/>
      <x:c r="H56" s="3"/>
      <x:c r="I56" s="3"/>
      <x:c r="J56" s="3"/>
    </x:row>
    <x:row r="57">
      <x:c r="A57" s="3" t="str">
        <x:v>Account tasks completed</x:v>
      </x:c>
      <x:c r="B57" s="3"/>
      <x:c r="C57" s="3"/>
      <x:c r="D57" s="3" t="n">
        <x:f>COUNTIF('Account Tasks'!A6:A27,"✓")</x:f>
        <x:v>0</x:v>
      </x:c>
      <x:c r="E57" s="3" t="n">
        <x:v>22</x:v>
      </x:c>
      <x:c r="F57" s="3"/>
      <x:c r="G57" s="3"/>
      <x:c r="H57" s="3"/>
      <x:c r="I57" s="3"/>
      <x:c r="J57" s="3"/>
    </x:row>
    <x:row r="58">
      <x:c r="A58" s="3"/>
      <x:c r="B58" s="3"/>
      <x:c r="C58" s="3"/>
      <x:c r="D58" s="3"/>
      <x:c r="E58" s="3"/>
      <x:c r="F58" s="3"/>
      <x:c r="G58" s="3"/>
      <x:c r="H58" s="3"/>
      <x:c r="I58" s="3"/>
      <x:c r="J58" s="3"/>
    </x:row>
    <x:row r="59">
      <x:c r="A59" s="3"/>
      <x:c r="B59" s="3"/>
      <x:c r="C59" s="3"/>
      <x:c r="D59" s="3"/>
      <x:c r="E59" s="3"/>
      <x:c r="F59" s="3"/>
      <x:c r="G59" s="3"/>
      <x:c r="H59" s="3"/>
      <x:c r="I59" s="3"/>
      <x:c r="J59" s="3"/>
    </x:row>
    <x:row r="60">
      <x:c r="A60" s="3"/>
      <x:c r="B60" s="3"/>
      <x:c r="C60" s="3"/>
      <x:c r="D60" s="3"/>
      <x:c r="E60" s="3"/>
      <x:c r="F60" s="3"/>
      <x:c r="G60" s="3"/>
      <x:c r="H60" s="3"/>
      <x:c r="I60" s="3"/>
      <x:c r="J60" s="3"/>
    </x:row>
  </x:sheetData>
  <x:conditionalFormatting sqref="D18:I52">
    <x:cfRule type="cellIs" dxfId="16" priority="1" operator="equal">
      <x:formula>"✓"</x:formula>
    </x:cfRule>
  </x:conditionalFormatting>
  <x:pageMargins left="0.7" right="0.7" top="0.75" bottom="0.75" header="0.3" footer="0.3"/>
</x:worksheet>
</file>

<file path=xl/worksheets/sheet2.xml><?xml version="1.0" encoding="utf-8"?>
<x:worksheet xmlns:x="http://schemas.openxmlformats.org/spreadsheetml/2006/main">
  <x:sheetPr>
    <x:tabColor rgb="FF173C65"/>
  </x:sheetPr>
  <x:sheetViews>
    <x:sheetView showGridLines="0" workbookViewId="0">
      <x:pane xSplit="4" ySplit="5" topLeftCell="E6" activePane="bottomRight" state="frozen"/>
    </x:sheetView>
  </x:sheetViews>
  <x:sheetFormatPr defaultRowHeight="15"/>
  <x:cols>
    <x:col min="1" max="1" width="12" hidden="0" customWidth="1"/>
    <x:col min="2" max="2" width="15" hidden="0" customWidth="1"/>
    <x:col min="3" max="3" width="12" hidden="0" customWidth="1"/>
    <x:col min="4" max="4" width="11" hidden="0" customWidth="1"/>
    <x:col min="5" max="5" width="14" hidden="0" customWidth="1"/>
    <x:col min="6" max="6" width="15" hidden="0" customWidth="1"/>
    <x:col min="7" max="7" width="18" hidden="0" customWidth="1"/>
    <x:col min="8" max="8" width="39" hidden="0" customWidth="1"/>
    <x:col min="9" max="9" width="83" hidden="0" customWidth="1"/>
    <x:col min="10" max="10" width="30" hidden="0" customWidth="1"/>
    <x:col min="11" max="11" width="28" hidden="0" customWidth="1"/>
    <x:col min="12" max="12" width="48" hidden="0" customWidth="1"/>
    <x:col min="13" max="13" width="23" hidden="0" customWidth="1"/>
    <x:col min="14" max="14" width="63" hidden="0" customWidth="1"/>
    <x:col min="15" max="15" width="65" hidden="0" customWidth="1"/>
    <x:col min="16" max="16" width="22" hidden="0" customWidth="1"/>
    <x:col min="17" max="17" width="60" hidden="0" customWidth="1"/>
    <x:col min="18" max="18" width="64" hidden="0" customWidth="1"/>
    <x:col min="19" max="19" width="13" hidden="0" customWidth="1"/>
    <x:col min="20" max="20" width="13" hidden="0" customWidth="1"/>
    <x:col min="21" max="21" width="13" hidden="0" customWidth="1"/>
    <x:col min="22" max="22" width="15" hidden="0" customWidth="1"/>
    <x:col min="23" max="23" width="44" hidden="0" customWidth="1"/>
    <x:col min="24" max="24" width="15" hidden="0" customWidth="1"/>
    <x:col min="25" max="25" width="15" hidden="0" customWidth="1"/>
    <x:col min="26" max="26" width="18" hidden="0" customWidth="1"/>
    <x:col min="27" max="27" width="40" hidden="0" customWidth="1"/>
    <x:col min="28" max="28" width="65" hidden="0" customWidth="1"/>
  </x:cols>
  <x:sheetData>
    <x:row r="1" ht="28" customHeight="1">
      <x:c r="A1" s="5" t="str">
        <x:v>Facebook calendar</x:v>
      </x:c>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22" customHeight="1">
      <x:c r="A2" s="7" t="str">
        <x:v>11 September–31 December 2026. Tick Published only after it is live. Amber cells are tracking inputs. Scroll right for complete copy and visuals.</x:v>
      </x:c>
      <x:c r="B2" s="3"/>
      <x:c r="C2" s="3"/>
      <x:c r="D2" s="3"/>
      <x:c r="E2" s="3"/>
      <x:c r="F2" s="3"/>
      <x:c r="G2" s="3"/>
      <x:c r="H2" s="3"/>
      <x:c r="I2" s="3"/>
      <x:c r="J2" s="3"/>
      <x:c r="K2" s="3"/>
      <x:c r="L2" s="3"/>
      <x:c r="M2" s="3"/>
      <x:c r="N2" s="3"/>
      <x:c r="O2" s="3"/>
      <x:c r="P2" s="3"/>
      <x:c r="Q2" s="3"/>
      <x:c r="R2" s="3"/>
      <x:c r="S2" s="3"/>
      <x:c r="T2" s="3"/>
      <x:c r="U2" s="3"/>
      <x:c r="V2" s="3"/>
      <x:c r="W2" s="3"/>
      <x:c r="X2" s="3"/>
      <x:c r="Y2" s="3"/>
      <x:c r="Z2" s="3"/>
      <x:c r="AA2" s="3"/>
      <x:c r="AB2" s="3"/>
    </x:row>
    <x:row r="3">
      <x:c r="A3" s="8"/>
      <x:c r="B3" s="8"/>
      <x:c r="C3" s="8"/>
      <x:c r="D3" s="8"/>
      <x:c r="E3" s="8"/>
      <x:c r="F3" s="8"/>
      <x:c r="G3" s="8"/>
      <x:c r="H3" s="8"/>
      <x:c r="I3" s="8"/>
      <x:c r="J3" s="8"/>
      <x:c r="K3" s="8"/>
      <x:c r="L3" s="8"/>
      <x:c r="M3" s="8"/>
      <x:c r="N3" s="8"/>
      <x:c r="O3" s="8"/>
      <x:c r="P3" s="8"/>
      <x:c r="Q3" s="8"/>
      <x:c r="R3" s="8"/>
      <x:c r="S3" s="8"/>
      <x:c r="T3" s="8"/>
      <x:c r="U3" s="8"/>
      <x:c r="V3" s="8"/>
      <x:c r="W3" s="8"/>
      <x:c r="X3" s="8"/>
      <x:c r="Y3" s="8"/>
      <x:c r="Z3" s="8"/>
      <x:c r="AA3" s="8"/>
      <x:c r="AB3" s="8"/>
    </x:row>
    <x:row r="4">
      <x:c r="A4" s="3"/>
      <x:c r="B4" s="3"/>
      <x:c r="C4" s="3"/>
      <x:c r="D4" s="3"/>
      <x:c r="E4" s="3"/>
      <x:c r="F4" s="3"/>
      <x:c r="G4" s="3"/>
      <x:c r="H4" s="3"/>
      <x:c r="I4" s="3"/>
      <x:c r="J4" s="3"/>
      <x:c r="K4" s="3"/>
      <x:c r="L4" s="3"/>
      <x:c r="M4" s="3"/>
      <x:c r="N4" s="3"/>
      <x:c r="O4" s="3"/>
      <x:c r="P4" s="3"/>
      <x:c r="Q4" s="3"/>
      <x:c r="R4" s="3"/>
      <x:c r="S4" s="3"/>
      <x:c r="T4" s="3"/>
      <x:c r="U4" s="3"/>
      <x:c r="V4" s="3"/>
      <x:c r="W4" s="3"/>
      <x:c r="X4" s="3"/>
      <x:c r="Y4" s="3"/>
      <x:c r="Z4" s="3"/>
      <x:c r="AA4" s="3"/>
      <x:c r="AB4" s="3"/>
    </x:row>
    <x:row r="5" ht="36" customHeight="1">
      <x:c r="A5" s="12" t="str">
        <x:v>Published</x:v>
      </x:c>
      <x:c r="B5" s="13" t="str">
        <x:v>Planned date</x:v>
      </x:c>
      <x:c r="C5" s="13" t="str">
        <x:v>Time IST</x:v>
      </x:c>
      <x:c r="D5" s="13" t="str">
        <x:v>Post ID</x:v>
      </x:c>
      <x:c r="E5" s="13" t="str">
        <x:v>Priority</x:v>
      </x:c>
      <x:c r="F5" s="13" t="str">
        <x:v>Workflow</x:v>
      </x:c>
      <x:c r="G5" s="13" t="str">
        <x:v>Owner</x:v>
      </x:c>
      <x:c r="H5" s="13" t="str">
        <x:v>Post heading</x:v>
      </x:c>
      <x:c r="I5" s="13" t="str">
        <x:v>Full caption / Status text</x:v>
      </x:c>
      <x:c r="J5" s="13" t="str">
        <x:v>Hashtags</x:v>
      </x:c>
      <x:c r="K5" s="13" t="str">
        <x:v>Call to action</x:v>
      </x:c>
      <x:c r="L5" s="13" t="str">
        <x:v>Destination URL</x:v>
      </x:c>
      <x:c r="M5" s="13" t="str">
        <x:v>Format</x:v>
      </x:c>
      <x:c r="N5" s="13" t="str">
        <x:v>On-artwork text / slides</x:v>
      </x:c>
      <x:c r="O5" s="13" t="str">
        <x:v>Graphic / video direction</x:v>
      </x:c>
      <x:c r="P5" s="13" t="str">
        <x:v>Canvas size</x:v>
      </x:c>
      <x:c r="Q5" s="13" t="str">
        <x:v>Suggested alt text</x:v>
      </x:c>
      <x:c r="R5" s="13" t="str">
        <x:v>Before publishing</x:v>
      </x:c>
      <x:c r="S5" s="13" t="str">
        <x:v>Copy approved</x:v>
      </x:c>
      <x:c r="T5" s="13" t="str">
        <x:v>Asset ready</x:v>
      </x:c>
      <x:c r="U5" s="13" t="str">
        <x:v>Link tested</x:v>
      </x:c>
      <x:c r="V5" s="13" t="str">
        <x:v>Actual date</x:v>
      </x:c>
      <x:c r="W5" s="13" t="str">
        <x:v>Published URL</x:v>
      </x:c>
      <x:c r="X5" s="13" t="str">
        <x:v>Reach / views</x:v>
      </x:c>
      <x:c r="Y5" s="13" t="str">
        <x:v>Link clicks</x:v>
      </x:c>
      <x:c r="Z5" s="13" t="str">
        <x:v>Qualified enquiries</x:v>
      </x:c>
      <x:c r="AA5" s="13" t="str">
        <x:v>Notes</x:v>
      </x:c>
      <x:c r="AB5" s="14" t="str">
        <x:v>Fallback caption</x:v>
      </x:c>
    </x:row>
    <x:row r="6" ht="260" customHeight="1">
      <x:c r="A6" s="23" t="str">
        <x:v>☐</x:v>
      </x:c>
      <x:c r="B6" s="24" t="n">
        <x:v>46276</x:v>
      </x:c>
      <x:c r="C6" s="25" t="n">
        <x:v>0.7708333333333334</x:v>
      </x:c>
      <x:c r="D6" s="15" t="str">
        <x:v>S01</x:v>
      </x:c>
      <x:c r="E6" s="15" t="str">
        <x:v>Core</x:v>
      </x:c>
      <x:c r="F6" s="22" t="str">
        <x:v>Draft</x:v>
      </x:c>
      <x:c r="G6" s="22" t="str"/>
      <x:c r="H6" s="15" t="str">
        <x:v>A fresh start for your business online</x:v>
      </x:c>
      <x:c r="I6" s="15" t="str">
        <x:v>Planning a new business website? Digital Launchpad opens on 14 September. We are offering one plan at ₹32,000 + GST, with bookings open until 25 September 2026. Ask for the written scope so you can check whether it fits your business before booking.
Request the offer details: https://elan-tech.net/pricing/digital-launchpad/?utm_source=facebook&amp;utm_medium=social&amp;utm_campaign=q4_2026_launchpad&amp;utm_content=s01</x:v>
      </x:c>
      <x:c r="J6" s="15" t="str">
        <x:v>#BusinessWebsite #NagpurBusiness #eLanTechnology</x:v>
      </x:c>
      <x:c r="K6" s="15" t="str">
        <x:v>Request the offer details</x:v>
      </x:c>
      <x:c r="L6" s="15" t="str">
        <x:v>https://elan-tech.net/pricing/digital-launchpad/?utm_source=facebook&amp;utm_medium=social&amp;utm_campaign=q4_2026_launchpad&amp;utm_content=s01</x:v>
      </x:c>
      <x:c r="M6" s="15" t="str">
        <x:v>Feed carousel</x:v>
      </x:c>
      <x:c r="N6" s="15" t="str">
        <x:v>COVER: A fresh start for your business online
SLIDE 2: Digital Launchpad opens 14 September
SLIDE 3: One plan: ₹32,000 + GST
SLIDE 4: Bookings: 14–25 September 2026
SLIDE 5: Ask for the written scope before booking
CLOSING: Request the offer details</x:v>
      </x:c>
      <x:c r="O6" s="15" t="str">
        <x:v>Cream background, orange date strip and blue headline. Build an original desktop-and-phone wireframe, clearly labelled Sample layout. No client screens. Keep + GST as prominent as the price. Keep headline, logo and captions away from interface overlays.</x:v>
      </x:c>
      <x:c r="P6" s="15" t="str">
        <x:v>1080 × 1350 px</x:v>
      </x:c>
      <x:c r="Q6" s="15" t="str">
        <x:v>A fresh start for your business online. Digital Launchpad opens 14 September. One plan: ₹32,000 + GST. Bookings: 14–25 September 2026. Digital Launchpad costs ₹32,000 plus GST, with bookings from 14 to 25 September 2026. Original illustrative graphic by eLan Technology.</x:v>
      </x:c>
      <x:c r="R6" s="15" t="str">
        <x:v>Approve final scope and offer landing page before publication No client assets or testimonials. No paid promotion. Test the destination and mobile contact journey.</x:v>
      </x:c>
      <x:c r="S6" s="23" t="str">
        <x:v>☐</x:v>
      </x:c>
      <x:c r="T6" s="23" t="str">
        <x:v>☐</x:v>
      </x:c>
      <x:c r="U6" s="23" t="str">
        <x:v>☐</x:v>
      </x:c>
      <x:c r="V6" s="24"/>
      <x:c r="W6" s="22" t="str"/>
      <x:c r="X6" s="26"/>
      <x:c r="Y6" s="26"/>
      <x:c r="Z6" s="26"/>
      <x:c r="AA6" s="22" t="str"/>
      <x:c r="AB6" s="22" t="str"/>
    </x:row>
    <x:row r="7" ht="260" customHeight="1">
      <x:c r="A7" s="23" t="str">
        <x:v>☐</x:v>
      </x:c>
      <x:c r="B7" s="24" t="n">
        <x:v>46279</x:v>
      </x:c>
      <x:c r="C7" s="25" t="n">
        <x:v>0.7708333333333334</x:v>
      </x:c>
      <x:c r="D7" s="3" t="str">
        <x:v>S02</x:v>
      </x:c>
      <x:c r="E7" s="3" t="str">
        <x:v>Core</x:v>
      </x:c>
      <x:c r="F7" s="22" t="str">
        <x:v>Draft</x:v>
      </x:c>
      <x:c r="G7" s="22" t="str"/>
      <x:c r="H7" s="3" t="str">
        <x:v>Digital Launchpad is open: ₹32,000 + GST</x:v>
      </x:c>
      <x:c r="I7" s="3" t="str">
        <x:v>Ready to plan your business website? Digital Launchpad bookings are now open at ₹32,000 + GST until 25 September 2026. Tell us what your business does and what your website needs to help customers do. We will share the package scope and booking terms so you can decide if it is the right fit.
Request this offer: https://elan-tech.net/pricing/digital-launchpad/?utm_source=facebook&amp;utm_medium=social&amp;utm_campaign=q4_2026_launchpad&amp;utm_content=s02</x:v>
      </x:c>
      <x:c r="J7" s="3" t="str">
        <x:v>#BusinessWebsite #NagpurBusiness #eLanTechnology</x:v>
      </x:c>
      <x:c r="K7" s="3" t="str">
        <x:v>Request this offer</x:v>
      </x:c>
      <x:c r="L7" s="3" t="str">
        <x:v>https://elan-tech.net/pricing/digital-launchpad/?utm_source=facebook&amp;utm_medium=social&amp;utm_campaign=q4_2026_launchpad&amp;utm_content=s02</x:v>
      </x:c>
      <x:c r="M7" s="3" t="str">
        <x:v>Feed carousel</x:v>
      </x:c>
      <x:c r="N7" s="3" t="str">
        <x:v>COVER: Digital Launchpad is open: ₹32,000 + GST
SLIDE 2: Digital Launchpad is now open
SLIDE 3: ₹32,000 + GST
SLIDE 4: 14–25 September 2026
SLIDE 5: Check scope and terms
SLIDE 6: Request the offer details
CLOSING: Request this offer</x:v>
      </x:c>
      <x:c r="O7" s="3" t="str">
        <x:v>Price-led poster with a clean rectangular sample browser. Large ₹32,000, visible + GST beside it, booking dates below. Avoid a long feature list until inclusions are approved. Keep headline, logo and captions away from interface overlays.</x:v>
      </x:c>
      <x:c r="P7" s="3" t="str">
        <x:v>1080 × 1350 px</x:v>
      </x:c>
      <x:c r="Q7" s="3" t="str">
        <x:v>Digital Launchpad is open: ₹32,000 + GST. Digital Launchpad is now open. ₹32,000 + GST. 14–25 September 2026. Digital Launchpad costs ₹32,000 plus GST, with bookings from 14 to 25 September 2026. Original illustrative graphic by eLan Technology.</x:v>
      </x:c>
      <x:c r="R7" s="3" t="str">
        <x:v>Approve scope, payment terms and offer page; GBP Offer ends 25 September 2026 No client assets or testimonials. No paid promotion. Test the destination and mobile contact journey.</x:v>
      </x:c>
      <x:c r="S7" s="23" t="str">
        <x:v>☐</x:v>
      </x:c>
      <x:c r="T7" s="23" t="str">
        <x:v>☐</x:v>
      </x:c>
      <x:c r="U7" s="23" t="str">
        <x:v>☐</x:v>
      </x:c>
      <x:c r="V7" s="24"/>
      <x:c r="W7" s="22" t="str"/>
      <x:c r="X7" s="26"/>
      <x:c r="Y7" s="26"/>
      <x:c r="Z7" s="26"/>
      <x:c r="AA7" s="22" t="str"/>
      <x:c r="AB7" s="22" t="str"/>
    </x:row>
    <x:row r="8" ht="260" customHeight="1">
      <x:c r="A8" s="23" t="str">
        <x:v>☐</x:v>
      </x:c>
      <x:c r="B8" s="24" t="n">
        <x:v>46281</x:v>
      </x:c>
      <x:c r="C8" s="25" t="n">
        <x:v>0.7708333333333334</x:v>
      </x:c>
      <x:c r="D8" s="15" t="str">
        <x:v>S03</x:v>
      </x:c>
      <x:c r="E8" s="15" t="str">
        <x:v>Core</x:v>
      </x:c>
      <x:c r="F8" s="22" t="str">
        <x:v>Draft</x:v>
      </x:c>
      <x:c r="G8" s="22" t="str"/>
      <x:c r="H8" s="15" t="str">
        <x:v>Before booking, know what is included</x:v>
      </x:c>
      <x:c r="I8" s="15" t="str">
        <x:v>A website package is easier to compare when the details are clear. Ask about pages, content, revisions, hosting, support and anything charged separately. Digital Launchpad is ₹32,000 + GST, with bookings open until 25 September 2026. Message us for the written scope before you decide.
Ask for the package scope: https://elan-tech.net/pricing/digital-launchpad/?utm_source=facebook&amp;utm_medium=social&amp;utm_campaign=q4_2026_launchpad&amp;utm_content=s03</x:v>
      </x:c>
      <x:c r="J8" s="15" t="str">
        <x:v>#BusinessWebsite #NagpurBusiness #eLanTechnology</x:v>
      </x:c>
      <x:c r="K8" s="15" t="str">
        <x:v>Ask for the package scope</x:v>
      </x:c>
      <x:c r="L8" s="15" t="str">
        <x:v>https://elan-tech.net/pricing/digital-launchpad/?utm_source=facebook&amp;utm_medium=social&amp;utm_campaign=q4_2026_launchpad&amp;utm_content=s03</x:v>
      </x:c>
      <x:c r="M8" s="15" t="str">
        <x:v>Feed carousel</x:v>
      </x:c>
      <x:c r="N8" s="15" t="str">
        <x:v>COVER: Before booking, know what is included
SLIDE 2: What does the package cover?
SLIDE 3: Check pages, content and revisions
SLIDE 4: Check hosting and ongoing support
SLIDE 5: Confirm exclusions and payment terms
SLIDE 6: Digital Launchpad: ₹32,000 + GST, until 25 September
CLOSING: Ask for the package scope</x:v>
      </x:c>
      <x:c r="O8" s="15" t="str">
        <x:v>Five-slide checklist. Each slide asks one scope question. Use outlined page, pencil, server and document symbols. Do not portray a question as an included feature. Keep headline, logo and captions away from interface overlays.</x:v>
      </x:c>
      <x:c r="P8" s="15" t="str">
        <x:v>1080 × 1350 px</x:v>
      </x:c>
      <x:c r="Q8" s="15" t="str">
        <x:v>Before booking, know what is included. What does the package cover?. Check pages, content and revisions. Check hosting and ongoing support. Digital Launchpad costs ₹32,000 plus GST, with bookings from 14 to 25 September 2026. Original illustrative graphic by eLan Technology.</x:v>
      </x:c>
      <x:c r="R8" s="15" t="str">
        <x:v>Written scope must be approved; do not insert unconfirmed inclusions No client assets or testimonials. No paid promotion. Test the destination and mobile contact journey.</x:v>
      </x:c>
      <x:c r="S8" s="23" t="str">
        <x:v>☐</x:v>
      </x:c>
      <x:c r="T8" s="23" t="str">
        <x:v>☐</x:v>
      </x:c>
      <x:c r="U8" s="23" t="str">
        <x:v>☐</x:v>
      </x:c>
      <x:c r="V8" s="24"/>
      <x:c r="W8" s="22" t="str"/>
      <x:c r="X8" s="26"/>
      <x:c r="Y8" s="26"/>
      <x:c r="Z8" s="26"/>
      <x:c r="AA8" s="22" t="str"/>
      <x:c r="AB8" s="22" t="str"/>
    </x:row>
    <x:row r="9" ht="260" customHeight="1">
      <x:c r="A9" s="23" t="str">
        <x:v>☐</x:v>
      </x:c>
      <x:c r="B9" s="24" t="n">
        <x:v>46283</x:v>
      </x:c>
      <x:c r="C9" s="25" t="n">
        <x:v>0.7708333333333334</x:v>
      </x:c>
      <x:c r="D9" s="3" t="str">
        <x:v>S04</x:v>
      </x:c>
      <x:c r="E9" s="3" t="str">
        <x:v>Core</x:v>
      </x:c>
      <x:c r="F9" s="22" t="str">
        <x:v>Draft</x:v>
      </x:c>
      <x:c r="G9" s="22" t="str"/>
      <x:c r="H9" s="3" t="str">
        <x:v>Make it easy for visitors to enquire</x:v>
      </x:c>
      <x:c r="I9" s="3" t="str">
        <x:v>Can a visitor quickly understand your services and find the next step on a phone? Clear service information, easy-to-find contact options and a tested enquiry form are good places to start. This example is a demonstration, not a client website. Planning your own site? Ask about Digital Launchpad at ₹32,000 + GST before bookings close on 25 September.
Request the offer details: https://elan-tech.net/pricing/digital-launchpad/?utm_source=facebook&amp;utm_medium=social&amp;utm_campaign=q4_2026_launchpad&amp;utm_content=s04</x:v>
      </x:c>
      <x:c r="J9" s="3" t="str">
        <x:v>#BusinessWebsite #NagpurBusiness #eLanTechnology</x:v>
      </x:c>
      <x:c r="K9" s="3" t="str">
        <x:v>Request the offer details</x:v>
      </x:c>
      <x:c r="L9" s="3" t="str">
        <x:v>https://elan-tech.net/pricing/digital-launchpad/?utm_source=facebook&amp;utm_medium=social&amp;utm_campaign=q4_2026_launchpad&amp;utm_content=s04</x:v>
      </x:c>
      <x:c r="M9" s="3" t="str">
        <x:v>Captioned Reel</x:v>
      </x:c>
      <x:c r="N9" s="3" t="str">
        <x:v>COVER: Make it easy for visitors to enquire
SLIDE 2: Can visitors understand your service?
SLIDE 3: Can they find contact options on mobile?
SLIDE 4: Does the enquiry reach your inbox?
SLIDE 5: Demonstration, not a client website
SLIDE 6: Ask about Launchpad: ₹32,000 + GST
CLOSING: Request the offer details</x:v>
      </x:c>
      <x:c r="O9" s="3" t="str">
        <x:v>25-second screen recording of an original sample site. Show service, contact route and a sandbox form confirmation. Persistent Demonstration label. Never show a real lead or inbox. Keep headline, logo and captions away from interface overlays.</x:v>
      </x:c>
      <x:c r="P9" s="3" t="str">
        <x:v>1080 × 1920 px</x:v>
      </x:c>
      <x:c r="Q9" s="3" t="str">
        <x:v>Make it easy for visitors to enquire. Can visitors understand your service?. Can they find contact options on mobile?. Does the enquiry reach your inbox?. Digital Launchpad costs ₹32,000 plus GST, with bookings from 14 to 25 September 2026. Original illustrative graphic by eLan Technology.</x:v>
      </x:c>
      <x:c r="R9" s="3" t="str">
        <x:v>Test the demo; approve offer scope; no claim of guaranteed enquiries No client assets or testimonials. No paid promotion. Test the destination and mobile contact journey.</x:v>
      </x:c>
      <x:c r="S9" s="23" t="str">
        <x:v>☐</x:v>
      </x:c>
      <x:c r="T9" s="23" t="str">
        <x:v>☐</x:v>
      </x:c>
      <x:c r="U9" s="23" t="str">
        <x:v>☐</x:v>
      </x:c>
      <x:c r="V9" s="24"/>
      <x:c r="W9" s="22" t="str"/>
      <x:c r="X9" s="26"/>
      <x:c r="Y9" s="26"/>
      <x:c r="Z9" s="26"/>
      <x:c r="AA9" s="22" t="str"/>
      <x:c r="AB9" s="22" t="str"/>
    </x:row>
    <x:row r="10" ht="260" customHeight="1">
      <x:c r="A10" s="23" t="str">
        <x:v>☐</x:v>
      </x:c>
      <x:c r="B10" s="24" t="n">
        <x:v>46286</x:v>
      </x:c>
      <x:c r="C10" s="25" t="n">
        <x:v>0.7708333333333334</x:v>
      </x:c>
      <x:c r="D10" s="15" t="str">
        <x:v>S05</x:v>
      </x:c>
      <x:c r="E10" s="15" t="str">
        <x:v>Core</x:v>
      </x:c>
      <x:c r="F10" s="22" t="str">
        <x:v>Draft</x:v>
      </x:c>
      <x:c r="G10" s="22" t="str"/>
      <x:c r="H10" s="15" t="str">
        <x:v>Five questions before you book a website</x:v>
      </x:c>
      <x:c r="I10" s="15" t="str">
        <x:v>Who supplies the content? How are revisions handled? What renews each year? What will you receive at handover? What affects the delivery date? Save these questions for your next website conversation. Digital Launchpad bookings close on 25 September 2026 at ₹32,000 + GST. Ask us how the written scope addresses your needs.
Discuss your website requirements: https://elan-tech.net/pricing/digital-launchpad/?utm_source=facebook&amp;utm_medium=social&amp;utm_campaign=q4_2026_launchpad&amp;utm_content=s05</x:v>
      </x:c>
      <x:c r="J10" s="15" t="str">
        <x:v>#BusinessWebsite #NagpurBusiness #eLanTechnology</x:v>
      </x:c>
      <x:c r="K10" s="15" t="str">
        <x:v>Discuss your website requirements</x:v>
      </x:c>
      <x:c r="L10" s="15" t="str">
        <x:v>https://elan-tech.net/pricing/digital-launchpad/?utm_source=facebook&amp;utm_medium=social&amp;utm_campaign=q4_2026_launchpad&amp;utm_content=s05</x:v>
      </x:c>
      <x:c r="M10" s="15" t="str">
        <x:v>Feed carousel</x:v>
      </x:c>
      <x:c r="N10" s="15" t="str">
        <x:v>COVER: Five questions before you book a website
SLIDE 2: Who provides the content?
SLIDE 3: How many revisions are agreed?
SLIDE 4: Which costs renew?
SLIDE 5: What is handed over?
SLIDE 6: What affects the delivery date?
CLOSING: Discuss your website requirements</x:v>
      </x:c>
      <x:c r="O10" s="15" t="str">
        <x:v>Five numbered rectangular question cards, with a sixth closing panel. Blue type on white, restrained orange number blocks. Put the offer only on the closing slide. Keep headline, logo and captions away from interface overlays.</x:v>
      </x:c>
      <x:c r="P10" s="15" t="str">
        <x:v>1080 × 1350 px</x:v>
      </x:c>
      <x:c r="Q10" s="15" t="str">
        <x:v>Five questions before you book a website. Who provides the content?. How many revisions are agreed?. Which costs renew?. Digital Launchpad costs ₹32,000 plus GST, with bookings from 14 to 25 September 2026. Original illustrative graphic by eLan Technology.</x:v>
      </x:c>
      <x:c r="R10" s="15" t="str">
        <x:v>Confirm contractual wording and offer scope No client assets or testimonials. No paid promotion. Test the destination and mobile contact journey.</x:v>
      </x:c>
      <x:c r="S10" s="23" t="str">
        <x:v>☐</x:v>
      </x:c>
      <x:c r="T10" s="23" t="str">
        <x:v>☐</x:v>
      </x:c>
      <x:c r="U10" s="23" t="str">
        <x:v>☐</x:v>
      </x:c>
      <x:c r="V10" s="24"/>
      <x:c r="W10" s="22" t="str"/>
      <x:c r="X10" s="26"/>
      <x:c r="Y10" s="26"/>
      <x:c r="Z10" s="26"/>
      <x:c r="AA10" s="22" t="str"/>
      <x:c r="AB10" s="22" t="str"/>
    </x:row>
    <x:row r="11" ht="260" customHeight="1">
      <x:c r="A11" s="23" t="str">
        <x:v>☐</x:v>
      </x:c>
      <x:c r="B11" s="24" t="n">
        <x:v>46288</x:v>
      </x:c>
      <x:c r="C11" s="25" t="n">
        <x:v>0.7708333333333334</x:v>
      </x:c>
      <x:c r="D11" s="3" t="str">
        <x:v>S06</x:v>
      </x:c>
      <x:c r="E11" s="3" t="str">
        <x:v>Core</x:v>
      </x:c>
      <x:c r="F11" s="22" t="str">
        <x:v>Draft</x:v>
      </x:c>
      <x:c r="G11" s="22" t="str"/>
      <x:c r="H11" s="3" t="str">
        <x:v>Your Launchpad questions, answered</x:v>
      </x:c>
      <x:c r="I11" s="3" t="str">
        <x:v>Not sure whether Digital Launchpad suits your project? Start with three questions: what do you need the website to do, what content is ready, and what ongoing support will you need? We can then compare your requirements with the written package scope. The offer is ₹32,000 + GST and closes for bookings on 25 September 2026.
Ask about the offer: https://elan-tech.net/pricing/digital-launchpad/?utm_source=facebook&amp;utm_medium=social&amp;utm_campaign=q4_2026_launchpad&amp;utm_content=s06</x:v>
      </x:c>
      <x:c r="J11" s="3" t="str">
        <x:v>#BusinessWebsite #NagpurBusiness #eLanTechnology</x:v>
      </x:c>
      <x:c r="K11" s="3" t="str">
        <x:v>Ask about the offer</x:v>
      </x:c>
      <x:c r="L11" s="3" t="str">
        <x:v>https://elan-tech.net/pricing/digital-launchpad/?utm_source=facebook&amp;utm_medium=social&amp;utm_campaign=q4_2026_launchpad&amp;utm_content=s06</x:v>
      </x:c>
      <x:c r="M11" s="3" t="str">
        <x:v>Captioned Reel</x:v>
      </x:c>
      <x:c r="N11" s="3" t="str">
        <x:v>COVER: Your Launchpad questions, answered
SLIDE 2: What should the website help people do?
SLIDE 3: What content is ready?
SLIDE 4: What support will you need?
SLIDE 5: Check the written scope
SLIDE 6: ₹32,000 + GST; bookings close 25 September
CLOSING: Ask about the offer</x:v>
      </x:c>
      <x:c r="O11" s="3" t="str">
        <x:v>Founder video, 25–35 seconds, bright uncluttered setting. Add three question captions and a final date/price card. Say Common questions, not You asked, unless questions were received. Keep headline, logo and captions away from interface overlays.</x:v>
      </x:c>
      <x:c r="P11" s="3" t="str">
        <x:v>1080 × 1920 px</x:v>
      </x:c>
      <x:c r="Q11" s="3" t="str">
        <x:v>Your Launchpad questions, answered. What should the website help people do?. What content is ready?. What support will you need?. Digital Launchpad costs ₹32,000 plus GST, with bookings from 14 to 25 September 2026. Original illustrative graphic by eLan Technology.</x:v>
      </x:c>
      <x:c r="R11" s="3" t="str">
        <x:v>Approve answers against actual package terms No client assets or testimonials. No paid promotion. Test the destination and mobile contact journey.</x:v>
      </x:c>
      <x:c r="S11" s="23" t="str">
        <x:v>☐</x:v>
      </x:c>
      <x:c r="T11" s="23" t="str">
        <x:v>☐</x:v>
      </x:c>
      <x:c r="U11" s="23" t="str">
        <x:v>☐</x:v>
      </x:c>
      <x:c r="V11" s="24"/>
      <x:c r="W11" s="22" t="str"/>
      <x:c r="X11" s="26"/>
      <x:c r="Y11" s="26"/>
      <x:c r="Z11" s="26"/>
      <x:c r="AA11" s="22" t="str"/>
      <x:c r="AB11" s="22" t="str"/>
    </x:row>
    <x:row r="12" ht="260" customHeight="1">
      <x:c r="A12" s="23" t="str">
        <x:v>☐</x:v>
      </x:c>
      <x:c r="B12" s="24" t="n">
        <x:v>46290</x:v>
      </x:c>
      <x:c r="C12" s="25" t="n">
        <x:v>0.7708333333333334</x:v>
      </x:c>
      <x:c r="D12" s="15" t="str">
        <x:v>S07</x:v>
      </x:c>
      <x:c r="E12" s="15" t="str">
        <x:v>Core</x:v>
      </x:c>
      <x:c r="F12" s="22" t="str">
        <x:v>Draft</x:v>
      </x:c>
      <x:c r="G12" s="22" t="str"/>
      <x:c r="H12" s="15" t="str">
        <x:v>Last day for Digital Launchpad bookings</x:v>
      </x:c>
      <x:c r="I12" s="15" t="str">
        <x:v>Digital Launchpad bookings close today, 25 September 2026. The plan is ₹32,000 + GST. If you are considering it, request the written scope and booking terms today so you can make an informed decision. Work outside the agreed scope is quoted separately.
Request the offer details today: https://elan-tech.net/pricing/digital-launchpad/?utm_source=facebook&amp;utm_medium=social&amp;utm_campaign=q4_2026_launchpad&amp;utm_content=s07</x:v>
      </x:c>
      <x:c r="J12" s="15" t="str">
        <x:v>#BusinessWebsite #NagpurBusiness #eLanTechnology</x:v>
      </x:c>
      <x:c r="K12" s="15" t="str">
        <x:v>Request the offer details today</x:v>
      </x:c>
      <x:c r="L12" s="15" t="str">
        <x:v>https://elan-tech.net/pricing/digital-launchpad/?utm_source=facebook&amp;utm_medium=social&amp;utm_campaign=q4_2026_launchpad&amp;utm_content=s07</x:v>
      </x:c>
      <x:c r="M12" s="15" t="str">
        <x:v>Feed carousel</x:v>
      </x:c>
      <x:c r="N12" s="15" t="str">
        <x:v>COVER: Last day for Digital Launchpad bookings
SLIDE 2: Bookings close today
SLIDE 3: 25 September 2026
SLIDE 4: ₹32,000 + GST
SLIDE 5: Review scope and booking terms
SLIDE 6: Request the details today
CLOSING: Request the offer details today</x:v>
      </x:c>
      <x:c r="O12" s="15" t="str">
        <x:v>One bold closing-date graphic. White, blue and orange. No countdown counter, remaining-slot claim or invented cutoff time. Create an expired version for the landing page after closure. Keep headline, logo and captions away from interface overlays.</x:v>
      </x:c>
      <x:c r="P12" s="15" t="str">
        <x:v>1080 × 1350 px</x:v>
      </x:c>
      <x:c r="Q12" s="15" t="str">
        <x:v>Last day for Digital Launchpad bookings. Bookings close today. 25 September 2026. ₹32,000 + GST. Digital Launchpad costs ₹32,000 plus GST, with bookings from 14 to 25 September 2026. Original illustrative graphic by eLan Technology.</x:v>
      </x:c>
      <x:c r="R12" s="15" t="str">
        <x:v>Confirm closing time and booking conditions; remove active promotion after expiry No client assets or testimonials. No paid promotion. Test the destination and mobile contact journey.</x:v>
      </x:c>
      <x:c r="S12" s="23" t="str">
        <x:v>☐</x:v>
      </x:c>
      <x:c r="T12" s="23" t="str">
        <x:v>☐</x:v>
      </x:c>
      <x:c r="U12" s="23" t="str">
        <x:v>☐</x:v>
      </x:c>
      <x:c r="V12" s="24"/>
      <x:c r="W12" s="22" t="str"/>
      <x:c r="X12" s="26"/>
      <x:c r="Y12" s="26"/>
      <x:c r="Z12" s="26"/>
      <x:c r="AA12" s="22" t="str"/>
      <x:c r="AB12" s="22" t="str"/>
    </x:row>
    <x:row r="13" ht="260" customHeight="1">
      <x:c r="A13" s="23" t="str">
        <x:v>☐</x:v>
      </x:c>
      <x:c r="B13" s="24" t="n">
        <x:v>46294</x:v>
      </x:c>
      <x:c r="C13" s="25" t="n">
        <x:v>0.7708333333333334</x:v>
      </x:c>
      <x:c r="D13" s="3" t="str">
        <x:v>S08</x:v>
      </x:c>
      <x:c r="E13" s="3" t="str">
        <x:v>Core</x:v>
      </x:c>
      <x:c r="F13" s="22" t="str">
        <x:v>Draft</x:v>
      </x:c>
      <x:c r="G13" s="22" t="str"/>
      <x:c r="H13" s="3" t="str">
        <x:v>A Shopify store should feel like your business</x:v>
      </x:c>
      <x:c r="I13" s="3" t="str">
        <x:v>A custom storefront starts with how your customers browse and buy. Think clear collections, useful product information, easy mobile navigation and a checkout journey that makes sense. We design and develop custom Shopify stores around the business behind them. Have a store in mind? Tell us what you sell and what needs to work better.
Request a Shopify quote: https://elan-tech.net/services/ecommerce/shopify-development/?utm_source=facebook&amp;utm_medium=social&amp;utm_campaign=q4_2026_shopify&amp;utm_content=s08</x:v>
      </x:c>
      <x:c r="J13" s="3" t="str">
        <x:v>#Shopify #eCommerce #WebDesign</x:v>
      </x:c>
      <x:c r="K13" s="3" t="str">
        <x:v>Request a Shopify quote</x:v>
      </x:c>
      <x:c r="L13" s="3" t="str">
        <x:v>https://elan-tech.net/services/ecommerce/shopify-development/?utm_source=facebook&amp;utm_medium=social&amp;utm_campaign=q4_2026_shopify&amp;utm_content=s08</x:v>
      </x:c>
      <x:c r="M13" s="3" t="str">
        <x:v>Feed carousel</x:v>
      </x:c>
      <x:c r="N13" s="3" t="str">
        <x:v>COVER: A Shopify store should feel like your business
SLIDE 2: Start with the shopping journey
SLIDE 3: Organise products clearly
SLIDE 4: Answer questions on product pages
SLIDE 5: Check navigation on a phone
SLIDE 6: Plan a custom Shopify storefront
CLOSING: Request a Shopify quote</x:v>
      </x:c>
      <x:c r="O13" s="3" t="str">
        <x:v>Five-slide original shop wireframe using neutral sample products. Green accent, cream background. Zoom into collection, product details and mobile menu. Label all screens Demonstration. Keep headline, logo and captions away from interface overlays.</x:v>
      </x:c>
      <x:c r="P13" s="3" t="str">
        <x:v>1080 × 1350 px</x:v>
      </x:c>
      <x:c r="Q13" s="3" t="str">
        <x:v>A Shopify store should feel like your business. Start with the shopping journey. Organise products clearly. Answer questions on product pages. Original illustrative graphic by eLan Technology.</x:v>
      </x:c>
      <x:c r="R13" s="3" t="str">
        <x:v>Standard approval No client assets or testimonials. No paid promotion. Test the destination and mobile contact journey.</x:v>
      </x:c>
      <x:c r="S13" s="23" t="str">
        <x:v>☐</x:v>
      </x:c>
      <x:c r="T13" s="23" t="str">
        <x:v>☐</x:v>
      </x:c>
      <x:c r="U13" s="23" t="str">
        <x:v>☐</x:v>
      </x:c>
      <x:c r="V13" s="24"/>
      <x:c r="W13" s="22" t="str"/>
      <x:c r="X13" s="26"/>
      <x:c r="Y13" s="26"/>
      <x:c r="Z13" s="26"/>
      <x:c r="AA13" s="22" t="str"/>
      <x:c r="AB13" s="22" t="str"/>
    </x:row>
    <x:row r="14" ht="260" customHeight="1">
      <x:c r="A14" s="23" t="str">
        <x:v>☐</x:v>
      </x:c>
      <x:c r="B14" s="24" t="n">
        <x:v>46297</x:v>
      </x:c>
      <x:c r="C14" s="25" t="n">
        <x:v>0.7708333333333334</x:v>
      </x:c>
      <x:c r="D14" s="15" t="str">
        <x:v>O01</x:v>
      </x:c>
      <x:c r="E14" s="15" t="str">
        <x:v>Conditional</x:v>
      </x:c>
      <x:c r="F14" s="22" t="str">
        <x:v>Hold</x:v>
      </x:c>
      <x:c r="G14" s="22" t="str"/>
      <x:c r="H14" s="15" t="str">
        <x:v>One link for your business details</x:v>
      </x:c>
      <x:c r="I14" s="15" t="str">
        <x:v>We are preparing a digital business card subscription from eLan Technology. The idea is simple: make it easier to share your business details through a digital profile. This is a preview, not a launch announcement. Want to see it when it is ready? Send us a message. Subscription prices will be quoted + GST.
Express interest in the digital card: https://elan-tech.net/contact/?utm_source=facebook&amp;utm_medium=social&amp;utm_campaign=q4_2026_digital_card&amp;utm_content=o01</x:v>
      </x:c>
      <x:c r="J14" s="15" t="str">
        <x:v>#DigitalBusinessCard #BusinessNetworking #eLanTechnology</x:v>
      </x:c>
      <x:c r="K14" s="15" t="str">
        <x:v>Express interest in the digital card</x:v>
      </x:c>
      <x:c r="L14" s="15" t="str">
        <x:v>https://elan-tech.net/contact/?utm_source=facebook&amp;utm_medium=social&amp;utm_campaign=q4_2026_digital_card&amp;utm_content=o01</x:v>
      </x:c>
      <x:c r="M14" s="15" t="str">
        <x:v>Captioned Reel</x:v>
      </x:c>
      <x:c r="N14" s="15" t="str">
        <x:v>COVER: One link for your business details
SLIDE 2: A digital business card is in preparation
SLIDE 3: Preview only
SLIDE 4: Final features and plans will follow
SLIDE 5: Subscription prices + GST
SLIDE 6: Reply CARD to express interest
CLOSING: Express interest in the digital card</x:v>
      </x:c>
      <x:c r="O14" s="15" t="str">
        <x:v>15-second actual preview recording with fictional sample data. Show only a tested profile and working sharing action. Preview label throughout. Do not publish an unverified domain. Keep headline, logo and captions away from interface overlays.</x:v>
      </x:c>
      <x:c r="P14" s="15" t="str">
        <x:v>1080 × 1920 px</x:v>
      </x:c>
      <x:c r="Q14" s="15" t="str">
        <x:v>One link for your business details. A digital business card is in preparation. Preview only. Final features and plans will follow. Original illustrative graphic by eLan Technology.</x:v>
      </x:c>
      <x:c r="R14" s="15" t="str">
        <x:v>Confirm working preview and approved brand/domain; not a public launch No client assets or testimonials. No paid promotion. Test the destination and mobile contact journey.</x:v>
      </x:c>
      <x:c r="S14" s="23" t="str">
        <x:v>☐</x:v>
      </x:c>
      <x:c r="T14" s="23" t="str">
        <x:v>☐</x:v>
      </x:c>
      <x:c r="U14" s="23" t="str">
        <x:v>☐</x:v>
      </x:c>
      <x:c r="V14" s="24"/>
      <x:c r="W14" s="22" t="str"/>
      <x:c r="X14" s="26"/>
      <x:c r="Y14" s="26"/>
      <x:c r="Z14" s="26"/>
      <x:c r="AA14" s="22" t="str"/>
      <x:c r="AB14"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15" ht="260" customHeight="1">
      <x:c r="A15" s="23" t="str">
        <x:v>☐</x:v>
      </x:c>
      <x:c r="B15" s="24" t="n">
        <x:v>46301</x:v>
      </x:c>
      <x:c r="C15" s="25" t="n">
        <x:v>0.7708333333333334</x:v>
      </x:c>
      <x:c r="D15" s="3" t="str">
        <x:v>O02</x:v>
      </x:c>
      <x:c r="E15" s="3" t="str">
        <x:v>Core</x:v>
      </x:c>
      <x:c r="F15" s="22" t="str">
        <x:v>Draft</x:v>
      </x:c>
      <x:c r="G15" s="22" t="str"/>
      <x:c r="H15" s="3" t="str">
        <x:v>Connect the store to the work behind it</x:v>
      </x:c>
      <x:c r="I15" s="3" t="str">
        <x:v>An online store has work to do after a customer presses Buy. Subscription rules, payment confirmation and shipping updates need to fit together. We help plan custom commerce around those everyday operations. This diagram is illustrative. Tell us which part of your workflow currently needs manual effort.
Discuss custom commerce: https://elan-tech.net/services/ecommerce/?utm_source=facebook&amp;utm_medium=social&amp;utm_campaign=q4_2026_commerce&amp;utm_content=o02</x:v>
      </x:c>
      <x:c r="J15" s="3" t="str">
        <x:v>#eCommerce #CustomDevelopment #OnlineStore</x:v>
      </x:c>
      <x:c r="K15" s="3" t="str">
        <x:v>Discuss custom commerce</x:v>
      </x:c>
      <x:c r="L15" s="3" t="str">
        <x:v>https://elan-tech.net/services/ecommerce/?utm_source=facebook&amp;utm_medium=social&amp;utm_campaign=q4_2026_commerce&amp;utm_content=o02</x:v>
      </x:c>
      <x:c r="M15" s="3" t="str">
        <x:v>Feed carousel</x:v>
      </x:c>
      <x:c r="N15" s="3" t="str">
        <x:v>COVER: Connect the store to the work behind it
SLIDE 2: Customer places an order
SLIDE 3: Payment status is checked
SLIDE 4: Subscription rules apply where needed
SLIDE 5: Shipping receives the next action
SLIDE 6: Plan the workflow before the build
CLOSING: Discuss custom commerce</x:v>
      </x:c>
      <x:c r="O15" s="3" t="str">
        <x:v>Four-part original flow diagram with labelled arrows and one exception branch for payment failure. Indigo and teal accents. No client screens, order values or provider endorsement. Keep headline, logo and captions away from interface overlays.</x:v>
      </x:c>
      <x:c r="P15" s="3" t="str">
        <x:v>1080 × 1350 px</x:v>
      </x:c>
      <x:c r="Q15" s="3" t="str">
        <x:v>Connect the store to the work behind it. Customer places an order. Payment status is checked. Subscription rules apply where needed. Original illustrative graphic by eLan Technology.</x:v>
      </x:c>
      <x:c r="R15" s="3" t="str">
        <x:v>Standard approval No client assets or testimonials. No paid promotion. Test the destination and mobile contact journey.</x:v>
      </x:c>
      <x:c r="S15" s="23" t="str">
        <x:v>☐</x:v>
      </x:c>
      <x:c r="T15" s="23" t="str">
        <x:v>☐</x:v>
      </x:c>
      <x:c r="U15" s="23" t="str">
        <x:v>☐</x:v>
      </x:c>
      <x:c r="V15" s="24"/>
      <x:c r="W15" s="22" t="str"/>
      <x:c r="X15" s="26"/>
      <x:c r="Y15" s="26"/>
      <x:c r="Z15" s="26"/>
      <x:c r="AA15" s="22" t="str"/>
      <x:c r="AB15" s="22" t="str"/>
    </x:row>
    <x:row r="16" ht="260" customHeight="1">
      <x:c r="A16" s="23" t="str">
        <x:v>☐</x:v>
      </x:c>
      <x:c r="B16" s="24" t="n">
        <x:v>46304</x:v>
      </x:c>
      <x:c r="C16" s="25" t="n">
        <x:v>0.7708333333333334</x:v>
      </x:c>
      <x:c r="D16" s="15" t="str">
        <x:v>O03</x:v>
      </x:c>
      <x:c r="E16" s="15" t="str">
        <x:v>Core</x:v>
      </x:c>
      <x:c r="F16" s="22" t="str">
        <x:v>Draft</x:v>
      </x:c>
      <x:c r="G16" s="22" t="str"/>
      <x:c r="H16" s="15" t="str">
        <x:v>Can your website be used without a mouse?</x:v>
      </x:c>
      <x:c r="I16" s="15" t="str">
        <x:v>Try opening your website and using only the keyboard. Can you reach the menu, see where focus is, and complete the contact form? These checks can reveal barriers worth investigating. They are a starting point, not a compliance certificate. We can help assess accessibility issues and plan improvements.
Request an accessibility assessment: https://elan-tech.net/services/ada-compliant-web-design/?utm_source=facebook&amp;utm_medium=social&amp;utm_campaign=q4_2026_accessibility&amp;utm_content=o03</x:v>
      </x:c>
      <x:c r="J16" s="15" t="str">
        <x:v>#WebAccessibility #InclusiveDesign #WCAG</x:v>
      </x:c>
      <x:c r="K16" s="15" t="str">
        <x:v>Request an accessibility assessment</x:v>
      </x:c>
      <x:c r="L16" s="15" t="str">
        <x:v>https://elan-tech.net/services/ada-compliant-web-design/?utm_source=facebook&amp;utm_medium=social&amp;utm_campaign=q4_2026_accessibility&amp;utm_content=o03</x:v>
      </x:c>
      <x:c r="M16" s="15" t="str">
        <x:v>Captioned Reel</x:v>
      </x:c>
      <x:c r="N16" s="15" t="str">
        <x:v>COVER: Can your website be used without a mouse?
SLIDE 2: Put the mouse aside
SLIDE 3: Use Tab to move through the page
SLIDE 4: Look for visible focus
SLIDE 5: Try the menu and form
SLIDE 6: A starting check, not certification
CLOSING: Request an accessibility assessment</x:v>
      </x:c>
      <x:c r="O16" s="15" t="str">
        <x:v>25-second original demo. Show a clear focus outline moving through a menu and form. Add keypress captions. Teal on white, no fear imagery or lawsuit figures. Keep headline, logo and captions away from interface overlays.</x:v>
      </x:c>
      <x:c r="P16" s="15" t="str">
        <x:v>1080 × 1920 px</x:v>
      </x:c>
      <x:c r="Q16" s="15" t="str">
        <x:v>Can your website be used without a mouse?. Put the mouse aside. Use Tab to move through the page. Look for visible focus. Original illustrative graphic by eLan Technology.</x:v>
      </x:c>
      <x:c r="R16" s="15" t="str">
        <x:v>Standard approval No client assets or testimonials. No paid promotion. Test the destination and mobile contact journey.</x:v>
      </x:c>
      <x:c r="S16" s="23" t="str">
        <x:v>☐</x:v>
      </x:c>
      <x:c r="T16" s="23" t="str">
        <x:v>☐</x:v>
      </x:c>
      <x:c r="U16" s="23" t="str">
        <x:v>☐</x:v>
      </x:c>
      <x:c r="V16" s="24"/>
      <x:c r="W16" s="22" t="str"/>
      <x:c r="X16" s="26"/>
      <x:c r="Y16" s="26"/>
      <x:c r="Z16" s="26"/>
      <x:c r="AA16" s="22" t="str"/>
      <x:c r="AB16" s="22" t="str"/>
    </x:row>
    <x:row r="17" ht="260" customHeight="1">
      <x:c r="A17" s="23" t="str">
        <x:v>☐</x:v>
      </x:c>
      <x:c r="B17" s="24" t="n">
        <x:v>46308</x:v>
      </x:c>
      <x:c r="C17" s="25" t="n">
        <x:v>0.7708333333333334</x:v>
      </x:c>
      <x:c r="D17" s="3" t="str">
        <x:v>O04</x:v>
      </x:c>
      <x:c r="E17" s="3" t="str">
        <x:v>Conditional</x:v>
      </x:c>
      <x:c r="F17" s="22" t="str">
        <x:v>Hold</x:v>
      </x:c>
      <x:c r="G17" s="22" t="str"/>
      <x:c r="H17" s="3" t="str">
        <x:v>Help us test a simpler business introduction</x:v>
      </x:c>
      <x:c r="I17" s="3" t="str">
        <x:v>We are inviting expressions of interest for a small digital business card pilot. We want to understand whether the setup and sharing journey is clear. If you would like to take part, message us for the pilot scope and terms. Access is subject to readiness and availability. Subscription prices, when offered, will be quoted + GST.
Ask about the pilot: https://elan-tech.net/contact/?utm_source=facebook&amp;utm_medium=social&amp;utm_campaign=q4_2026_digital_card&amp;utm_content=o04</x:v>
      </x:c>
      <x:c r="J17" s="3" t="str">
        <x:v>#DigitalBusinessCard #BusinessNetworking #eLanTechnology</x:v>
      </x:c>
      <x:c r="K17" s="3" t="str">
        <x:v>Ask about the pilot</x:v>
      </x:c>
      <x:c r="L17" s="3" t="str">
        <x:v>https://elan-tech.net/contact/?utm_source=facebook&amp;utm_medium=social&amp;utm_campaign=q4_2026_digital_card&amp;utm_content=o04</x:v>
      </x:c>
      <x:c r="M17" s="3" t="str">
        <x:v>Captioned Reel</x:v>
      </x:c>
      <x:c r="N17" s="3" t="str">
        <x:v>COVER: Help us test a simpler business introduction
SLIDE 2: Interested in a digital card pilot?
SLIDE 3: Test the setup journey
SLIDE 4: Check the profile details
SLIDE 5: Try the sharing experience
SLIDE 6: Ask for the pilot terms
CLOSING: Ask about the pilot</x:v>
      </x:c>
      <x:c r="O17" s="3" t="str">
        <x:v>Three-screen walkthrough with fictional data. Show only working steps. Closing card invites interest, with no free-forever or guaranteed access claim. Keep headline, logo and captions away from interface overlays.</x:v>
      </x:c>
      <x:c r="P17" s="3" t="str">
        <x:v>1080 × 1920 px</x:v>
      </x:c>
      <x:c r="Q17" s="3" t="str">
        <x:v>Help us test a simpler business introduction. Interested in a digital card pilot?. Test the setup journey. Check the profile details. Original illustrative graphic by eLan Technology.</x:v>
      </x:c>
      <x:c r="R17" s="3" t="str">
        <x:v>Pilot must be approved, functional and have written terms before invitations No client assets or testimonials. No paid promotion. Test the destination and mobile contact journey.</x:v>
      </x:c>
      <x:c r="S17" s="23" t="str">
        <x:v>☐</x:v>
      </x:c>
      <x:c r="T17" s="23" t="str">
        <x:v>☐</x:v>
      </x:c>
      <x:c r="U17" s="23" t="str">
        <x:v>☐</x:v>
      </x:c>
      <x:c r="V17" s="24"/>
      <x:c r="W17" s="22" t="str"/>
      <x:c r="X17" s="26"/>
      <x:c r="Y17" s="26"/>
      <x:c r="Z17" s="26"/>
      <x:c r="AA17" s="22" t="str"/>
      <x:c r="AB17"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18" ht="260" customHeight="1">
      <x:c r="A18" s="23" t="str">
        <x:v>☐</x:v>
      </x:c>
      <x:c r="B18" s="24" t="n">
        <x:v>46311</x:v>
      </x:c>
      <x:c r="C18" s="25" t="n">
        <x:v>0.7708333333333334</x:v>
      </x:c>
      <x:c r="D18" s="15" t="str">
        <x:v>O05</x:v>
      </x:c>
      <x:c r="E18" s="15" t="str">
        <x:v>Core</x:v>
      </x:c>
      <x:c r="F18" s="22" t="str">
        <x:v>Draft</x:v>
      </x:c>
      <x:c r="G18" s="22" t="str"/>
      <x:c r="H18" s="15" t="str">
        <x:v>What should a website quote explain?</x:v>
      </x:c>
      <x:c r="I18" s="15" t="str">
        <x:v>A useful quote tells you what will be built, what you need to provide, what support covers and what costs extra. It should also explain revisions, handover and payment terms. Keep this checklist for your next project. If you need a business website, share the brief and ask us for a scoped quote.
Request a scoped website quote: https://elan-tech.net/contact/?utm_source=facebook&amp;utm_medium=social&amp;utm_campaign=q4_2026_websites&amp;utm_content=o05</x:v>
      </x:c>
      <x:c r="J18" s="15" t="str">
        <x:v>#BusinessWebsite #WebDesign #eLanTechnology</x:v>
      </x:c>
      <x:c r="K18" s="15" t="str">
        <x:v>Request a scoped website quote</x:v>
      </x:c>
      <x:c r="L18" s="15" t="str">
        <x:v>https://elan-tech.net/contact/?utm_source=facebook&amp;utm_medium=social&amp;utm_campaign=q4_2026_websites&amp;utm_content=o05</x:v>
      </x:c>
      <x:c r="M18" s="15" t="str">
        <x:v>Feed carousel</x:v>
      </x:c>
      <x:c r="N18" s="15" t="str">
        <x:v>COVER: What should a website quote explain?
SLIDE 2: List the deliverables
SLIDE 3: Agree who supplies content
SLIDE 4: Clarify revisions and approvals
SLIDE 5: Read ownership and support terms
SLIDE 6: Check exclusions and payment stages
CLOSING: Request a scoped website quote</x:v>
      </x:c>
      <x:c r="O18" s="15" t="str">
        <x:v>Five clean document-style panels, orange highlights on key terms. No fake competitor quote or fabricated saving. Keep headline, logo and captions away from interface overlays.</x:v>
      </x:c>
      <x:c r="P18" s="15" t="str">
        <x:v>1080 × 1350 px</x:v>
      </x:c>
      <x:c r="Q18" s="15" t="str">
        <x:v>What should a website quote explain?. List the deliverables. Agree who supplies content. Clarify revisions and approvals. Original illustrative graphic by eLan Technology.</x:v>
      </x:c>
      <x:c r="R18" s="15" t="str">
        <x:v>Standard approval No client assets or testimonials. No paid promotion. Test the destination and mobile contact journey.</x:v>
      </x:c>
      <x:c r="S18" s="23" t="str">
        <x:v>☐</x:v>
      </x:c>
      <x:c r="T18" s="23" t="str">
        <x:v>☐</x:v>
      </x:c>
      <x:c r="U18" s="23" t="str">
        <x:v>☐</x:v>
      </x:c>
      <x:c r="V18" s="24"/>
      <x:c r="W18" s="22" t="str"/>
      <x:c r="X18" s="26"/>
      <x:c r="Y18" s="26"/>
      <x:c r="Z18" s="26"/>
      <x:c r="AA18" s="22" t="str"/>
      <x:c r="AB18" s="22" t="str"/>
    </x:row>
    <x:row r="19" ht="260" customHeight="1">
      <x:c r="A19" s="23" t="str">
        <x:v>☐</x:v>
      </x:c>
      <x:c r="B19" s="24" t="n">
        <x:v>46315</x:v>
      </x:c>
      <x:c r="C19" s="25" t="n">
        <x:v>0.7708333333333334</x:v>
      </x:c>
      <x:c r="D19" s="3" t="str">
        <x:v>O06</x:v>
      </x:c>
      <x:c r="E19" s="3" t="str">
        <x:v>Core</x:v>
      </x:c>
      <x:c r="F19" s="22" t="str">
        <x:v>Draft</x:v>
      </x:c>
      <x:c r="G19" s="22" t="str"/>
      <x:c r="H19" s="3" t="str">
        <x:v>Shopify, WooCommerce or Medusa.js?</x:v>
      </x:c>
      <x:c r="I19" s="3" t="str">
        <x:v>The best starting point is what your business needs to do. Shopify offers a managed commerce platform. WooCommerce fits a WordPress-based store. Medusa.js is worth exploring when custom commerce workflows need more development control. Compare maintenance, integrations and total running costs as well as design. Tell us your requirements and we will discuss the fit.
Discuss your eCommerce requirements: https://elan-tech.net/services/ecommerce/?utm_source=facebook&amp;utm_medium=social&amp;utm_campaign=q4_2026_commerce&amp;utm_content=o06</x:v>
      </x:c>
      <x:c r="J19" s="3" t="str">
        <x:v>#eCommerce #CustomDevelopment #OnlineStore</x:v>
      </x:c>
      <x:c r="K19" s="3" t="str">
        <x:v>Discuss your eCommerce requirements</x:v>
      </x:c>
      <x:c r="L19" s="3" t="str">
        <x:v>https://elan-tech.net/services/ecommerce/?utm_source=facebook&amp;utm_medium=social&amp;utm_campaign=q4_2026_commerce&amp;utm_content=o06</x:v>
      </x:c>
      <x:c r="M19" s="3" t="str">
        <x:v>Feed carousel</x:v>
      </x:c>
      <x:c r="N19" s="3" t="str">
        <x:v>COVER: Shopify, WooCommerce or Medusa.js?
SLIDE 2: Shopify: managed commerce platform
SLIDE 3: WooCommerce: commerce on WordPress
SLIDE 4: Medusa.js: custom commerce development
SLIDE 5: Compare integrations and ongoing work
SLIDE 6: Choose around your requirements
CLOSING: Discuss your eCommerce requirements</x:v>
      </x:c>
      <x:c r="O19" s="3" t="str">
        <x:v>Three equal rectangular cards in green, purple and indigo. No winner badge. Final comparison slide lists operations, integrations and maintenance. Keep names as text unless approved logos are available. Keep headline, logo and captions away from interface overlays.</x:v>
      </x:c>
      <x:c r="P19" s="3" t="str">
        <x:v>1080 × 1350 px</x:v>
      </x:c>
      <x:c r="Q19" s="3" t="str">
        <x:v>Shopify, WooCommerce or Medusa.js?. Shopify: managed commerce platform. WooCommerce: commerce on WordPress. Medusa.js: custom commerce development. Original illustrative graphic by eLan Technology.</x:v>
      </x:c>
      <x:c r="R19" s="3" t="str">
        <x:v>Standard approval No client assets or testimonials. No paid promotion. Test the destination and mobile contact journey.</x:v>
      </x:c>
      <x:c r="S19" s="23" t="str">
        <x:v>☐</x:v>
      </x:c>
      <x:c r="T19" s="23" t="str">
        <x:v>☐</x:v>
      </x:c>
      <x:c r="U19" s="23" t="str">
        <x:v>☐</x:v>
      </x:c>
      <x:c r="V19" s="24"/>
      <x:c r="W19" s="22" t="str"/>
      <x:c r="X19" s="26"/>
      <x:c r="Y19" s="26"/>
      <x:c r="Z19" s="26"/>
      <x:c r="AA19" s="22" t="str"/>
      <x:c r="AB19" s="22" t="str"/>
    </x:row>
    <x:row r="20" ht="260" customHeight="1">
      <x:c r="A20" s="23" t="str">
        <x:v>☐</x:v>
      </x:c>
      <x:c r="B20" s="24" t="n">
        <x:v>46318</x:v>
      </x:c>
      <x:c r="C20" s="25" t="n">
        <x:v>0.7708333333333334</x:v>
      </x:c>
      <x:c r="D20" s="15" t="str">
        <x:v>O07</x:v>
      </x:c>
      <x:c r="E20" s="15" t="str">
        <x:v>Core</x:v>
      </x:c>
      <x:c r="F20" s="22" t="str">
        <x:v>Draft</x:v>
      </x:c>
      <x:c r="G20" s="22" t="str"/>
      <x:c r="H20" s="15" t="str">
        <x:v>A local business website starts with real questions</x:v>
      </x:c>
      <x:c r="I20" s="15" t="str">
        <x:v>What do customers ask before they contact you? Your website should help answer those questions clearly: what you do, who you help, where you operate and how to enquire. We are based in Nagpur and work remotely with businesses elsewhere. Share your requirements and we can plan the right content and enquiry journey.
Request a business website quote: https://elan-tech.net/contact/?utm_source=facebook&amp;utm_medium=social&amp;utm_campaign=q4_2026_websites&amp;utm_content=o07</x:v>
      </x:c>
      <x:c r="J20" s="15" t="str">
        <x:v>#BusinessWebsite #WebDesign #eLanTechnology</x:v>
      </x:c>
      <x:c r="K20" s="15" t="str">
        <x:v>Request a business website quote</x:v>
      </x:c>
      <x:c r="L20" s="15" t="str">
        <x:v>https://elan-tech.net/contact/?utm_source=facebook&amp;utm_medium=social&amp;utm_campaign=q4_2026_websites&amp;utm_content=o07</x:v>
      </x:c>
      <x:c r="M20" s="15" t="str">
        <x:v>Feed carousel</x:v>
      </x:c>
      <x:c r="N20" s="15" t="str">
        <x:v>COVER: A local business website starts with real questions
SLIDE 2: What do customers need to know?
SLIDE 3: Explain services in everyday language
SLIDE 4: State the real service area
SLIDE 5: Make enquiry options clear
SLIDE 6: Plan the mobile experience
CLOSING: Request a business website quote</x:v>
      </x:c>
      <x:c r="O20" s="15" t="str">
        <x:v>Original wireframe sequence: customer questions, service page, contact panel, phone view. Small Nagpur label, no fictional branch offices or client locations. Keep headline, logo and captions away from interface overlays.</x:v>
      </x:c>
      <x:c r="P20" s="15" t="str">
        <x:v>1080 × 1350 px</x:v>
      </x:c>
      <x:c r="Q20" s="15" t="str">
        <x:v>A local business website starts with real questions. What do customers need to know?. Explain services in everyday language. State the real service area. Original illustrative graphic by eLan Technology.</x:v>
      </x:c>
      <x:c r="R20" s="15" t="str">
        <x:v>Standard approval No client assets or testimonials. No paid promotion. Test the destination and mobile contact journey.</x:v>
      </x:c>
      <x:c r="S20" s="23" t="str">
        <x:v>☐</x:v>
      </x:c>
      <x:c r="T20" s="23" t="str">
        <x:v>☐</x:v>
      </x:c>
      <x:c r="U20" s="23" t="str">
        <x:v>☐</x:v>
      </x:c>
      <x:c r="V20" s="24"/>
      <x:c r="W20" s="22" t="str"/>
      <x:c r="X20" s="26"/>
      <x:c r="Y20" s="26"/>
      <x:c r="Z20" s="26"/>
      <x:c r="AA20" s="22" t="str"/>
      <x:c r="AB20" s="22" t="str"/>
    </x:row>
    <x:row r="21" ht="260" customHeight="1">
      <x:c r="A21" s="23" t="str">
        <x:v>☐</x:v>
      </x:c>
      <x:c r="B21" s="24" t="n">
        <x:v>46322</x:v>
      </x:c>
      <x:c r="C21" s="25" t="n">
        <x:v>0.7708333333333334</x:v>
      </x:c>
      <x:c r="D21" s="3" t="str">
        <x:v>O08</x:v>
      </x:c>
      <x:c r="E21" s="3" t="str">
        <x:v>Core</x:v>
      </x:c>
      <x:c r="F21" s="22" t="str">
        <x:v>Draft</x:v>
      </x:c>
      <x:c r="G21" s="22" t="str"/>
      <x:c r="H21" s="3" t="str">
        <x:v>Four checkout checks before your next promotion</x:v>
      </x:c>
      <x:c r="I21" s="3" t="str">
        <x:v>Before sending more visitors to your store, try buying on a phone. Check whether delivery costs are clear, form errors explain what to fix, and the payment handoff works. Use a safe test environment when possible. These checks do not promise more sales, but they can uncover friction worth fixing.
Discuss store improvements: https://elan-tech.net/services/ecommerce/?utm_source=facebook&amp;utm_medium=social&amp;utm_campaign=q4_2026_commerce&amp;utm_content=o08</x:v>
      </x:c>
      <x:c r="J21" s="3" t="str">
        <x:v>#eCommerce #CustomDevelopment #OnlineStore</x:v>
      </x:c>
      <x:c r="K21" s="3" t="str">
        <x:v>Discuss store improvements</x:v>
      </x:c>
      <x:c r="L21" s="3" t="str">
        <x:v>https://elan-tech.net/services/ecommerce/?utm_source=facebook&amp;utm_medium=social&amp;utm_campaign=q4_2026_commerce&amp;utm_content=o08</x:v>
      </x:c>
      <x:c r="M21" s="3" t="str">
        <x:v>Captioned Reel</x:v>
      </x:c>
      <x:c r="N21" s="3" t="str">
        <x:v>COVER: Four checkout checks before your next promotion
SLIDE 2: Try the journey on mobile
SLIDE 3: Check delivery-cost clarity
SLIDE 4: Read form error messages
SLIDE 5: Test the payment handoff safely
SLIDE 6: Fix issues before a promotion
CLOSING: Discuss store improvements</x:v>
      </x:c>
      <x:c r="O21" s="3" t="str">
        <x:v>30-second sandbox recording with four chapter cards. Show sample cart and error message without real customer details or payment credentials. Keep headline, logo and captions away from interface overlays.</x:v>
      </x:c>
      <x:c r="P21" s="3" t="str">
        <x:v>1080 × 1920 px</x:v>
      </x:c>
      <x:c r="Q21" s="3" t="str">
        <x:v>Four checkout checks before your next promotion. Try the journey on mobile. Check delivery-cost clarity. Read form error messages. Original illustrative graphic by eLan Technology.</x:v>
      </x:c>
      <x:c r="R21" s="3" t="str">
        <x:v>Standard approval No client assets or testimonials. No paid promotion. Test the destination and mobile contact journey.</x:v>
      </x:c>
      <x:c r="S21" s="23" t="str">
        <x:v>☐</x:v>
      </x:c>
      <x:c r="T21" s="23" t="str">
        <x:v>☐</x:v>
      </x:c>
      <x:c r="U21" s="23" t="str">
        <x:v>☐</x:v>
      </x:c>
      <x:c r="V21" s="24"/>
      <x:c r="W21" s="22" t="str"/>
      <x:c r="X21" s="26"/>
      <x:c r="Y21" s="26"/>
      <x:c r="Z21" s="26"/>
      <x:c r="AA21" s="22" t="str"/>
      <x:c r="AB21" s="22" t="str"/>
    </x:row>
    <x:row r="22" ht="260" customHeight="1">
      <x:c r="A22" s="23" t="str">
        <x:v>☐</x:v>
      </x:c>
      <x:c r="B22" s="24" t="n">
        <x:v>46325</x:v>
      </x:c>
      <x:c r="C22" s="25" t="n">
        <x:v>0.7708333333333334</x:v>
      </x:c>
      <x:c r="D22" s="15" t="str">
        <x:v>O09</x:v>
      </x:c>
      <x:c r="E22" s="15" t="str">
        <x:v>Conditional</x:v>
      </x:c>
      <x:c r="F22" s="22" t="str">
        <x:v>Hold</x:v>
      </x:c>
      <x:c r="G22" s="22" t="str"/>
      <x:c r="H22" s="15" t="str">
        <x:v>What makes a digital card easy to use?</x:v>
      </x:c>
      <x:c r="I22" s="15" t="str">
        <x:v>Before a wider release, we are checking the small details that matter: readable text, clear contact options and a sharing journey that makes sense on a phone. Our digital business card is still subject to final readiness checks. Message us if you would like an update when the preview is available. Subscription pricing will be + GST.
Request a preview update: https://elan-tech.net/contact/?utm_source=facebook&amp;utm_medium=social&amp;utm_campaign=q4_2026_digital_card&amp;utm_content=o09</x:v>
      </x:c>
      <x:c r="J22" s="15" t="str">
        <x:v>#DigitalBusinessCard #BusinessNetworking #eLanTechnology</x:v>
      </x:c>
      <x:c r="K22" s="15" t="str">
        <x:v>Request a preview update</x:v>
      </x:c>
      <x:c r="L22" s="15" t="str">
        <x:v>https://elan-tech.net/contact/?utm_source=facebook&amp;utm_medium=social&amp;utm_campaign=q4_2026_digital_card&amp;utm_content=o09</x:v>
      </x:c>
      <x:c r="M22" s="15" t="str">
        <x:v>Feed carousel</x:v>
      </x:c>
      <x:c r="N22" s="15" t="str">
        <x:v>COVER: What makes a digital card easy to use?
SLIDE 2: Readable on a phone
SLIDE 3: Clear contact choices
SLIDE 4: A practical sharing journey
SLIDE 5: Product readiness comes first
SLIDE 6: Ask for a preview update
CLOSING: Request a preview update</x:v>
      </x:c>
      <x:c r="O22" s="15" t="str">
        <x:v>Three-panel internal-test checklist using a verified sample screen. Do not fabricate test scores, customer feedback or improvements not completed. Keep headline, logo and captions away from interface overlays.</x:v>
      </x:c>
      <x:c r="P22" s="15" t="str">
        <x:v>1080 × 1350 px</x:v>
      </x:c>
      <x:c r="Q22" s="15" t="str">
        <x:v>What makes a digital card easy to use?. Readable on a phone. Clear contact choices. A practical sharing journey. Original illustrative graphic by eLan Technology.</x:v>
      </x:c>
      <x:c r="R22" s="15" t="str">
        <x:v>Verify actual test status; do not imply a completed pilot or user results No client assets or testimonials. No paid promotion. Test the destination and mobile contact journey.</x:v>
      </x:c>
      <x:c r="S22" s="23" t="str">
        <x:v>☐</x:v>
      </x:c>
      <x:c r="T22" s="23" t="str">
        <x:v>☐</x:v>
      </x:c>
      <x:c r="U22" s="23" t="str">
        <x:v>☐</x:v>
      </x:c>
      <x:c r="V22" s="24"/>
      <x:c r="W22" s="22" t="str"/>
      <x:c r="X22" s="26"/>
      <x:c r="Y22" s="26"/>
      <x:c r="Z22" s="26"/>
      <x:c r="AA22" s="22" t="str"/>
      <x:c r="AB22"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3" ht="260" customHeight="1">
      <x:c r="A23" s="23" t="str">
        <x:v>☐</x:v>
      </x:c>
      <x:c r="B23" s="24" t="n">
        <x:v>46329</x:v>
      </x:c>
      <x:c r="C23" s="25" t="n">
        <x:v>0.7708333333333334</x:v>
      </x:c>
      <x:c r="D23" s="3" t="str">
        <x:v>N01</x:v>
      </x:c>
      <x:c r="E23" s="3" t="str">
        <x:v>Core</x:v>
      </x:c>
      <x:c r="F23" s="22" t="str">
        <x:v>Draft</x:v>
      </x:c>
      <x:c r="G23" s="22" t="str"/>
      <x:c r="H23" s="3" t="str">
        <x:v>Accessibility audit and remediation are different</x:v>
      </x:c>
      <x:c r="I23" s="3" t="str">
        <x:v>An audit helps identify accessibility barriers. Remediation is the work to address them. Retesting checks whether the agreed changes work as intended. If you need help, start by defining the pages, templates and journeys in scope. We can discuss an assessment and a practical improvement plan.
Request a scoped accessibility assessment: https://elan-tech.net/services/ada-compliant-web-design/?utm_source=facebook&amp;utm_medium=social&amp;utm_campaign=q4_2026_accessibility&amp;utm_content=n01</x:v>
      </x:c>
      <x:c r="J23" s="3" t="str">
        <x:v>#WebAccessibility #InclusiveDesign #WCAG</x:v>
      </x:c>
      <x:c r="K23" s="3" t="str">
        <x:v>Request a scoped accessibility assessment</x:v>
      </x:c>
      <x:c r="L23" s="3" t="str">
        <x:v>https://elan-tech.net/services/ada-compliant-web-design/?utm_source=facebook&amp;utm_medium=social&amp;utm_campaign=q4_2026_accessibility&amp;utm_content=n01</x:v>
      </x:c>
      <x:c r="M23" s="3" t="str">
        <x:v>Feed carousel</x:v>
      </x:c>
      <x:c r="N23" s="3" t="str">
        <x:v>COVER: Accessibility audit and remediation are different
SLIDE 2: Audit: identify barriers
SLIDE 3: Prioritise the agreed findings
SLIDE 4: Remediate: make the changes
SLIDE 5: Retest: verify the work
SLIDE 6: Agree scope and evidence
CLOSING: Request a scoped accessibility assessment</x:v>
      </x:c>
      <x:c r="O23" s="3" t="str">
        <x:v>Three-stage flow with an explicit retest loop. Teal accent, plain labels, no shield claiming legal protection. Keep headline, logo and captions away from interface overlays.</x:v>
      </x:c>
      <x:c r="P23" s="3" t="str">
        <x:v>1080 × 1350 px</x:v>
      </x:c>
      <x:c r="Q23" s="3" t="str">
        <x:v>Accessibility audit and remediation are different. Audit: identify barriers. Prioritise the agreed findings. Remediate: make the changes. Original illustrative graphic by eLan Technology.</x:v>
      </x:c>
      <x:c r="R23" s="3" t="str">
        <x:v>Standard approval No client assets or testimonials. No paid promotion. Test the destination and mobile contact journey.</x:v>
      </x:c>
      <x:c r="S23" s="23" t="str">
        <x:v>☐</x:v>
      </x:c>
      <x:c r="T23" s="23" t="str">
        <x:v>☐</x:v>
      </x:c>
      <x:c r="U23" s="23" t="str">
        <x:v>☐</x:v>
      </x:c>
      <x:c r="V23" s="24"/>
      <x:c r="W23" s="22" t="str"/>
      <x:c r="X23" s="26"/>
      <x:c r="Y23" s="26"/>
      <x:c r="Z23" s="26"/>
      <x:c r="AA23" s="22" t="str"/>
      <x:c r="AB23" s="22" t="str"/>
    </x:row>
    <x:row r="24" ht="260" customHeight="1">
      <x:c r="A24" s="23" t="str">
        <x:v>☐</x:v>
      </x:c>
      <x:c r="B24" s="24" t="n">
        <x:v>46332</x:v>
      </x:c>
      <x:c r="C24" s="25" t="n">
        <x:v>0.7708333333333334</x:v>
      </x:c>
      <x:c r="D24" s="15" t="str">
        <x:v>N02</x:v>
      </x:c>
      <x:c r="E24" s="15" t="str">
        <x:v>Core</x:v>
      </x:c>
      <x:c r="F24" s="22" t="str">
        <x:v>Draft</x:v>
      </x:c>
      <x:c r="G24" s="22" t="str"/>
      <x:c r="H24" s="15" t="str">
        <x:v>Digital card or website: which do you need?</x:v>
      </x:c>
      <x:c r="I24" s="15" t="str">
        <x:v>A digital card can help with a quick introduction. A website gives you room for detailed services, content and custom journeys. Some businesses may need both. Start with what your customers need to find or do, rather than buying more features. Ask us about the fit for your business. Digital-card subscription pricing will be + GST.
Discuss the right option: https://elan-tech.net/contact/?utm_source=facebook&amp;utm_medium=social&amp;utm_campaign=q4_2026_digital_card&amp;utm_content=n02</x:v>
      </x:c>
      <x:c r="J24" s="15" t="str">
        <x:v>#DigitalBusinessCard #BusinessNetworking #eLanTechnology</x:v>
      </x:c>
      <x:c r="K24" s="15" t="str">
        <x:v>Discuss the right option</x:v>
      </x:c>
      <x:c r="L24" s="15" t="str">
        <x:v>https://elan-tech.net/contact/?utm_source=facebook&amp;utm_medium=social&amp;utm_campaign=q4_2026_digital_card&amp;utm_content=n02</x:v>
      </x:c>
      <x:c r="M24" s="15" t="str">
        <x:v>Feed carousel</x:v>
      </x:c>
      <x:c r="N24" s="15" t="str">
        <x:v>COVER: Digital card or website: which do you need?
SLIDE 2: Digital card: a concise introduction
SLIDE 3: Website: deeper information and journeys
SLIDE 4: Some businesses need both
SLIDE 5: Start with the customer task
SLIDE 6: Ask which option fits
CLOSING: Discuss the right option</x:v>
      </x:c>
      <x:c r="O24" s="15" t="str">
        <x:v>Split layout of a simple sample profile and an original website wireframe. Equal visual weight, no misleading winner. Illustrative screens labelled. Keep headline, logo and captions away from interface overlays.</x:v>
      </x:c>
      <x:c r="P24" s="15" t="str">
        <x:v>1080 × 1350 px</x:v>
      </x:c>
      <x:c r="Q24" s="15" t="str">
        <x:v>Digital card or website: which do you need?. Digital card: a concise introduction. Website: deeper information and journeys. Some businesses need both. Original illustrative graphic by eLan Technology.</x:v>
      </x:c>
      <x:c r="R24" s="15" t="str">
        <x:v>Standard approval No client assets or testimonials. No paid promotion. Test the destination and mobile contact journey.</x:v>
      </x:c>
      <x:c r="S24" s="23" t="str">
        <x:v>☐</x:v>
      </x:c>
      <x:c r="T24" s="23" t="str">
        <x:v>☐</x:v>
      </x:c>
      <x:c r="U24" s="23" t="str">
        <x:v>☐</x:v>
      </x:c>
      <x:c r="V24" s="24"/>
      <x:c r="W24" s="22" t="str"/>
      <x:c r="X24" s="26"/>
      <x:c r="Y24" s="26"/>
      <x:c r="Z24" s="26"/>
      <x:c r="AA24" s="22" t="str"/>
      <x:c r="AB24"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5" ht="260" customHeight="1">
      <x:c r="A25" s="23" t="str">
        <x:v>☐</x:v>
      </x:c>
      <x:c r="B25" s="24" t="n">
        <x:v>46336</x:v>
      </x:c>
      <x:c r="C25" s="25" t="n">
        <x:v>0.7708333333333334</x:v>
      </x:c>
      <x:c r="D25" s="3" t="str">
        <x:v>N03</x:v>
      </x:c>
      <x:c r="E25" s="3" t="str">
        <x:v>Conditional</x:v>
      </x:c>
      <x:c r="F25" s="22" t="str">
        <x:v>Hold</x:v>
      </x:c>
      <x:c r="G25" s="22" t="str"/>
      <x:c r="H25" s="3" t="str">
        <x:v>Meet our digital business card</x:v>
      </x:c>
      <x:c r="I25" s="3" t="str">
        <x:v>Our digital business card subscription is now available. View the demo to see whether it suits the way you introduce your business. Review the plan features, billing interval and renewal terms before subscribing. Prices are quoted + GST. Message us for the verified demo and plan details.</x:v>
      </x:c>
      <x:c r="J25" s="3" t="str">
        <x:v>#DigitalBusinessCard #BusinessNetworking #eLanTechnology</x:v>
      </x:c>
      <x:c r="K25" s="3" t="str">
        <x:v>View the demo and plans</x:v>
      </x:c>
      <x:c r="L25" s="3" t="str"/>
      <x:c r="M25" s="3" t="str">
        <x:v>Captioned Reel</x:v>
      </x:c>
      <x:c r="N25" s="3" t="str">
        <x:v>COVER: Meet our digital business card
SLIDE 2: Meet the digital business card
SLIDE 3: Explore the working demo
SLIDE 4: Compare plan features and limits
SLIDE 5: Subscription prices + GST
SLIDE 6: Review terms before subscribing
CLOSING: View the demo and plans</x:v>
      </x:c>
      <x:c r="O25" s="3" t="str">
        <x:v>40-second real product demo after launch approval: 0–5s introduction, 5–20s profile and two verified actions, 20–30s plans, 30–40s terms and link. Use final branding only. Keep headline, logo and captions away from interface overlays.</x:v>
      </x:c>
      <x:c r="P25" s="3" t="str">
        <x:v>1080 × 1920 px</x:v>
      </x:c>
      <x:c r="Q25" s="3" t="str">
        <x:v>Meet our digital business card. Meet the digital business card. Explore the working demo. Compare plan features and limits. Original illustrative graphic by eLan Technology.</x:v>
      </x:c>
      <x:c r="R25" s="3" t="str">
        <x:v>HOLD: provisional launch slot; publish only after explicit launch approval, working billing, terms and support No client assets or testimonials. No paid promotion. Add and test the approved product URL before publishing.</x:v>
      </x:c>
      <x:c r="S25" s="23" t="str">
        <x:v>☐</x:v>
      </x:c>
      <x:c r="T25" s="23" t="str">
        <x:v>☐</x:v>
      </x:c>
      <x:c r="U25" s="23" t="str">
        <x:v>☐</x:v>
      </x:c>
      <x:c r="V25" s="24"/>
      <x:c r="W25" s="22" t="str"/>
      <x:c r="X25" s="26"/>
      <x:c r="Y25" s="26"/>
      <x:c r="Z25" s="26"/>
      <x:c r="AA25" s="22" t="str"/>
      <x:c r="AB25"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6" ht="260" customHeight="1">
      <x:c r="A26" s="23" t="str">
        <x:v>☐</x:v>
      </x:c>
      <x:c r="B26" s="24" t="n">
        <x:v>46339</x:v>
      </x:c>
      <x:c r="C26" s="25" t="n">
        <x:v>0.7708333333333334</x:v>
      </x:c>
      <x:c r="D26" s="15" t="str">
        <x:v>N04</x:v>
      </x:c>
      <x:c r="E26" s="15" t="str">
        <x:v>Conditional</x:v>
      </x:c>
      <x:c r="F26" s="22" t="str">
        <x:v>Hold</x:v>
      </x:c>
      <x:c r="G26" s="22" t="str"/>
      <x:c r="H26" s="15" t="str">
        <x:v>From signup to your first shared card</x:v>
      </x:c>
      <x:c r="I26" s="15" t="str">
        <x:v>Start with accurate business details, preview the card on a phone, and test the links before you share it. This walkthrough shows the current product journey. Check the subscription plan and billing terms first. Prices are + GST. Need help finding the demo? Send us a message.</x:v>
      </x:c>
      <x:c r="J26" s="15" t="str">
        <x:v>#DigitalBusinessCard #BusinessNetworking #eLanTechnology</x:v>
      </x:c>
      <x:c r="K26" s="15" t="str">
        <x:v>Request the product walkthrough</x:v>
      </x:c>
      <x:c r="L26" s="15" t="str"/>
      <x:c r="M26" s="15" t="str">
        <x:v>Captioned Reel</x:v>
      </x:c>
      <x:c r="N26" s="15" t="str">
        <x:v>COVER: From signup to your first shared card
SLIDE 2: Choose the appropriate plan
SLIDE 3: Enter accurate business details
SLIDE 4: Preview on a phone
SLIDE 5: Test the available links
SLIDE 6: Share the verified card
CLOSING: Request the product walkthrough</x:v>
      </x:c>
      <x:c r="O26" s="15" t="str">
        <x:v>Captioned real onboarding recording using a fictional test identity. Match every step to the released product. No promise of completion in a fixed number of minutes. Keep headline, logo and captions away from interface overlays.</x:v>
      </x:c>
      <x:c r="P26" s="15" t="str">
        <x:v>1080 × 1920 px</x:v>
      </x:c>
      <x:c r="Q26" s="15" t="str">
        <x:v>From signup to your first shared card. Choose the appropriate plan. Enter accurate business details. Preview on a phone. Original illustrative graphic by eLan Technology.</x:v>
      </x:c>
      <x:c r="R26" s="15" t="str">
        <x:v>HOLD unless launched and all shown steps match the released product No client assets or testimonials. No paid promotion. Add and test the approved product URL before publishing.</x:v>
      </x:c>
      <x:c r="S26" s="23" t="str">
        <x:v>☐</x:v>
      </x:c>
      <x:c r="T26" s="23" t="str">
        <x:v>☐</x:v>
      </x:c>
      <x:c r="U26" s="23" t="str">
        <x:v>☐</x:v>
      </x:c>
      <x:c r="V26" s="24"/>
      <x:c r="W26" s="22" t="str"/>
      <x:c r="X26" s="26"/>
      <x:c r="Y26" s="26"/>
      <x:c r="Z26" s="26"/>
      <x:c r="AA26" s="22" t="str"/>
      <x:c r="AB26"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7" ht="260" customHeight="1">
      <x:c r="A27" s="23" t="str">
        <x:v>☐</x:v>
      </x:c>
      <x:c r="B27" s="24" t="n">
        <x:v>46343</x:v>
      </x:c>
      <x:c r="C27" s="25" t="n">
        <x:v>0.7708333333333334</x:v>
      </x:c>
      <x:c r="D27" s="3" t="str">
        <x:v>N05</x:v>
      </x:c>
      <x:c r="E27" s="3" t="str">
        <x:v>Core</x:v>
      </x:c>
      <x:c r="F27" s="22" t="str">
        <x:v>Draft</x:v>
      </x:c>
      <x:c r="G27" s="22" t="str"/>
      <x:c r="H27" s="3" t="str">
        <x:v>What affects custom Medusa.js development cost?</x:v>
      </x:c>
      <x:c r="I27" s="3" t="str">
        <x:v>Custom commerce pricing depends on what needs to be built. The storefront, catalogue, subscriptions, payments, shipping and ongoing support all affect the scope. A clear requirements list is more useful than a price guess. Tell us how your business sells and we can discuss a scoped Medusa.js proposal.
Request a scoped Medusa.js quote: https://elan-tech.net/services/ecommerce/medusa-js-development/?utm_source=facebook&amp;utm_medium=social&amp;utm_campaign=q4_2026_medusa&amp;utm_content=n05</x:v>
      </x:c>
      <x:c r="J27" s="3" t="str">
        <x:v>#MedusaJS #eCommerce #CustomDevelopment</x:v>
      </x:c>
      <x:c r="K27" s="3" t="str">
        <x:v>Request a scoped Medusa.js quote</x:v>
      </x:c>
      <x:c r="L27" s="3" t="str">
        <x:v>https://elan-tech.net/services/ecommerce/medusa-js-development/?utm_source=facebook&amp;utm_medium=social&amp;utm_campaign=q4_2026_medusa&amp;utm_content=n05</x:v>
      </x:c>
      <x:c r="M27" s="3" t="str">
        <x:v>Feed carousel</x:v>
      </x:c>
      <x:c r="N27" s="3" t="str">
        <x:v>COVER: What affects custom Medusa.js development cost?
SLIDE 2: Storefront and product catalogue
SLIDE 3: Order and subscription rules
SLIDE 4: Payment integrations
SLIDE 5: Shipping and fulfilment
SLIDE 6: Support and future changes
CLOSING: Request a scoped Medusa.js quote</x:v>
      </x:c>
      <x:c r="O27" s="3" t="str">
        <x:v>Five connected scope blocks in indigo. Use equal-sized rectangles rather than an invented price ladder. Close with a short requirements checklist. Keep headline, logo and captions away from interface overlays.</x:v>
      </x:c>
      <x:c r="P27" s="3" t="str">
        <x:v>1080 × 1350 px</x:v>
      </x:c>
      <x:c r="Q27" s="3" t="str">
        <x:v>What affects custom Medusa.js development cost?. Storefront and product catalogue. Order and subscription rules. Payment integrations. Original illustrative graphic by eLan Technology.</x:v>
      </x:c>
      <x:c r="R27" s="3" t="str">
        <x:v>Standard approval No client assets or testimonials. No paid promotion. Test the destination and mobile contact journey.</x:v>
      </x:c>
      <x:c r="S27" s="23" t="str">
        <x:v>☐</x:v>
      </x:c>
      <x:c r="T27" s="23" t="str">
        <x:v>☐</x:v>
      </x:c>
      <x:c r="U27" s="23" t="str">
        <x:v>☐</x:v>
      </x:c>
      <x:c r="V27" s="24"/>
      <x:c r="W27" s="22" t="str"/>
      <x:c r="X27" s="26"/>
      <x:c r="Y27" s="26"/>
      <x:c r="Z27" s="26"/>
      <x:c r="AA27" s="22" t="str"/>
      <x:c r="AB27" s="22" t="str"/>
    </x:row>
    <x:row r="28" ht="260" customHeight="1">
      <x:c r="A28" s="23" t="str">
        <x:v>☐</x:v>
      </x:c>
      <x:c r="B28" s="24" t="n">
        <x:v>46346</x:v>
      </x:c>
      <x:c r="C28" s="25" t="n">
        <x:v>0.7708333333333334</x:v>
      </x:c>
      <x:c r="D28" s="15" t="str">
        <x:v>N06</x:v>
      </x:c>
      <x:c r="E28" s="15" t="str">
        <x:v>Core</x:v>
      </x:c>
      <x:c r="F28" s="22" t="str">
        <x:v>Draft</x:v>
      </x:c>
      <x:c r="G28" s="22" t="str"/>
      <x:c r="H28" s="15" t="str">
        <x:v>After a meeting, send a useful introduction</x:v>
      </x:c>
      <x:c r="I28" s="15" t="str">
        <x:v>A thoughtful follow-up reminds someone who you are and why you spoke. Keep it short, share the relevant business details, and give them an easy way to reply. Send it only when the contact is welcome. A digital card can support that introduction, but it does not replace a personal conversation.
Ask about the digital card: https://elan-tech.net/contact/?utm_source=facebook&amp;utm_medium=social&amp;utm_campaign=q4_2026_digital_card&amp;utm_content=n06</x:v>
      </x:c>
      <x:c r="J28" s="15" t="str">
        <x:v>#DigitalBusinessCard #BusinessNetworking #eLanTechnology</x:v>
      </x:c>
      <x:c r="K28" s="15" t="str">
        <x:v>Ask about the digital card</x:v>
      </x:c>
      <x:c r="L28" s="15" t="str">
        <x:v>https://elan-tech.net/contact/?utm_source=facebook&amp;utm_medium=social&amp;utm_campaign=q4_2026_digital_card&amp;utm_content=n06</x:v>
      </x:c>
      <x:c r="M28" s="15" t="str">
        <x:v>Captioned Reel</x:v>
      </x:c>
      <x:c r="N28" s="15" t="str">
        <x:v>COVER: After a meeting, send a useful introduction
SLIDE 2: Refer to the conversation
SLIDE 3: Share only relevant details
SLIDE 4: Make the next step clear
SLIDE 5: Respect messaging preferences
SLIDE 6: Keep the follow-up personal
CLOSING: Ask about the digital card</x:v>
      </x:c>
      <x:c r="O28" s="15" t="str">
        <x:v>Staged two-person meeting and fictional message overlay. No real contacts, client logos or invented message screenshots presented as genuine. End with a labelled sample profile. Keep headline, logo and captions away from interface overlays.</x:v>
      </x:c>
      <x:c r="P28" s="15" t="str">
        <x:v>1080 × 1920 px</x:v>
      </x:c>
      <x:c r="Q28" s="15" t="str">
        <x:v>After a meeting, send a useful introduction. Refer to the conversation. Share only relevant details. Make the next step clear. Original illustrative graphic by eLan Technology.</x:v>
      </x:c>
      <x:c r="R28" s="15" t="str">
        <x:v>Standard approval No client assets or testimonials. No paid promotion. Test the destination and mobile contact journey.</x:v>
      </x:c>
      <x:c r="S28" s="23" t="str">
        <x:v>☐</x:v>
      </x:c>
      <x:c r="T28" s="23" t="str">
        <x:v>☐</x:v>
      </x:c>
      <x:c r="U28" s="23" t="str">
        <x:v>☐</x:v>
      </x:c>
      <x:c r="V28" s="24"/>
      <x:c r="W28" s="22" t="str"/>
      <x:c r="X28" s="26"/>
      <x:c r="Y28" s="26"/>
      <x:c r="Z28" s="26"/>
      <x:c r="AA28" s="22" t="str"/>
      <x:c r="AB28"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9" ht="260" customHeight="1">
      <x:c r="A29" s="23" t="str">
        <x:v>☐</x:v>
      </x:c>
      <x:c r="B29" s="24" t="n">
        <x:v>46350</x:v>
      </x:c>
      <x:c r="C29" s="25" t="n">
        <x:v>0.7708333333333334</x:v>
      </x:c>
      <x:c r="D29" s="3" t="str">
        <x:v>N07</x:v>
      </x:c>
      <x:c r="E29" s="3" t="str">
        <x:v>Core</x:v>
      </x:c>
      <x:c r="F29" s="22" t="str">
        <x:v>Draft</x:v>
      </x:c>
      <x:c r="G29" s="22" t="str"/>
      <x:c r="H29" s="3" t="str">
        <x:v>A portal shaped around your organisation</x:v>
      </x:c>
      <x:c r="I29" s="3" t="str">
        <x:v>A portal should fit the work people need to do. We offer customisable real-estate, medical-conference, IMA society and resort-management platforms. Features can be adapted to the agreed requirements. Source code, ownership, deployment and recurring costs depend on the proposal and payment terms. Tell us which workflow you want to simplify.
Request a portal discussion: https://elan-tech.net/products/?utm_source=facebook&amp;utm_medium=social&amp;utm_campaign=q4_2026_portals&amp;utm_content=n07</x:v>
      </x:c>
      <x:c r="J29" s="3" t="str">
        <x:v>#BusinessSoftware #CustomDevelopment #BusinessPortal</x:v>
      </x:c>
      <x:c r="K29" s="3" t="str">
        <x:v>Request a portal discussion</x:v>
      </x:c>
      <x:c r="L29" s="3" t="str">
        <x:v>https://elan-tech.net/products/?utm_source=facebook&amp;utm_medium=social&amp;utm_campaign=q4_2026_portals&amp;utm_content=n07</x:v>
      </x:c>
      <x:c r="M29" s="3" t="str">
        <x:v>Feed carousel</x:v>
      </x:c>
      <x:c r="N29" s="3" t="str">
        <x:v>COVER: A portal shaped around your organisation
SLIDE 2: Real Estate Portal
SLIDE 3: Medical Conference Portal
SLIDE 4: IMA Society Portal
SLIDE 5: Resort Management Portal
SLIDE 6: Customisation and commercial terms are proposal-dependent
CLOSING: Request a portal discussion</x:v>
      </x:c>
      <x:c r="O29" s="3" t="str">
        <x:v>Four original workflow tiles with one sample admin diagram. Do not use PropertyCab as the product name. Mark Demonstration. No unlimited licence, ownership or SaaS-free promise. Keep headline, logo and captions away from interface overlays.</x:v>
      </x:c>
      <x:c r="P29" s="3" t="str">
        <x:v>1080 × 1350 px</x:v>
      </x:c>
      <x:c r="Q29" s="3" t="str">
        <x:v>A portal shaped around your organisation. Real Estate Portal. Medical Conference Portal. IMA Society Portal. Original illustrative graphic by eLan Technology.</x:v>
      </x:c>
      <x:c r="R29" s="3" t="str">
        <x:v>Standard approval No client assets or testimonials. No paid promotion. Test the destination and mobile contact journey.</x:v>
      </x:c>
      <x:c r="S29" s="23" t="str">
        <x:v>☐</x:v>
      </x:c>
      <x:c r="T29" s="23" t="str">
        <x:v>☐</x:v>
      </x:c>
      <x:c r="U29" s="23" t="str">
        <x:v>☐</x:v>
      </x:c>
      <x:c r="V29" s="24"/>
      <x:c r="W29" s="22" t="str"/>
      <x:c r="X29" s="26"/>
      <x:c r="Y29" s="26"/>
      <x:c r="Z29" s="26"/>
      <x:c r="AA29" s="22" t="str"/>
      <x:c r="AB29" s="22" t="str"/>
    </x:row>
    <x:row r="30" ht="260" customHeight="1">
      <x:c r="A30" s="23" t="str">
        <x:v>☐</x:v>
      </x:c>
      <x:c r="B30" s="24" t="n">
        <x:v>46353</x:v>
      </x:c>
      <x:c r="C30" s="25" t="n">
        <x:v>0.7708333333333334</x:v>
      </x:c>
      <x:c r="D30" s="15" t="str">
        <x:v>N08</x:v>
      </x:c>
      <x:c r="E30" s="15" t="str">
        <x:v>Core</x:v>
      </x:c>
      <x:c r="F30" s="22" t="str">
        <x:v>Draft</x:v>
      </x:c>
      <x:c r="G30" s="22" t="str"/>
      <x:c r="H30" s="15" t="str">
        <x:v>Paper and digital cards can work together</x:v>
      </x:c>
      <x:c r="I30" s="15" t="str">
        <x:v>A printed card can start the conversation. A digital profile can give someone another way to find your business details. If you use a QR code, include a readable URL as well and test both. No special hardware needs to be implied. Choose the format that works for the people you meet.
Ask about digital card options: https://elan-tech.net/contact/?utm_source=facebook&amp;utm_medium=social&amp;utm_campaign=q4_2026_digital_card&amp;utm_content=n08</x:v>
      </x:c>
      <x:c r="J30" s="15" t="str">
        <x:v>#DigitalBusinessCard #BusinessNetworking #eLanTechnology</x:v>
      </x:c>
      <x:c r="K30" s="15" t="str">
        <x:v>Ask about digital card options</x:v>
      </x:c>
      <x:c r="L30" s="15" t="str">
        <x:v>https://elan-tech.net/contact/?utm_source=facebook&amp;utm_medium=social&amp;utm_campaign=q4_2026_digital_card&amp;utm_content=n08</x:v>
      </x:c>
      <x:c r="M30" s="15" t="str">
        <x:v>Feed carousel</x:v>
      </x:c>
      <x:c r="N30" s="15" t="str">
        <x:v>COVER: Paper and digital cards can work together
SLIDE 2: A printed card starts a conversation
SLIDE 3: A digital profile adds another route
SLIDE 4: Test the QR destination
SLIDE 5: Include a readable URL
SLIDE 6: Choose for your audience
CLOSING: Ask about digital card options</x:v>
      </x:c>
      <x:c r="O30" s="15" t="str">
        <x:v>Side-by-side original printed card and sample phone profile. QR placeholder must not be published as a working code. Replace with a tested code only after the final domain is ready. Keep headline, logo and captions away from interface overlays.</x:v>
      </x:c>
      <x:c r="P30" s="15" t="str">
        <x:v>1080 × 1350 px</x:v>
      </x:c>
      <x:c r="Q30" s="15" t="str">
        <x:v>Paper and digital cards can work together. A printed card starts a conversation. A digital profile adds another route. Test the QR destination. Original illustrative graphic by eLan Technology.</x:v>
      </x:c>
      <x:c r="R30" s="15" t="str">
        <x:v>Standard approval No client assets or testimonials. No paid promotion. Test the destination and mobile contact journey.</x:v>
      </x:c>
      <x:c r="S30" s="23" t="str">
        <x:v>☐</x:v>
      </x:c>
      <x:c r="T30" s="23" t="str">
        <x:v>☐</x:v>
      </x:c>
      <x:c r="U30" s="23" t="str">
        <x:v>☐</x:v>
      </x:c>
      <x:c r="V30" s="24"/>
      <x:c r="W30" s="22" t="str"/>
      <x:c r="X30" s="26"/>
      <x:c r="Y30" s="26"/>
      <x:c r="Z30" s="26"/>
      <x:c r="AA30" s="22" t="str"/>
      <x:c r="AB30"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1" ht="260" customHeight="1">
      <x:c r="A31" s="23" t="str">
        <x:v>☐</x:v>
      </x:c>
      <x:c r="B31" s="24" t="n">
        <x:v>46357</x:v>
      </x:c>
      <x:c r="C31" s="25" t="n">
        <x:v>0.7708333333333334</x:v>
      </x:c>
      <x:c r="D31" s="3" t="str">
        <x:v>D01</x:v>
      </x:c>
      <x:c r="E31" s="3" t="str">
        <x:v>Core</x:v>
      </x:c>
      <x:c r="F31" s="22" t="str">
        <x:v>Draft</x:v>
      </x:c>
      <x:c r="G31" s="22" t="str"/>
      <x:c r="H31" s="3" t="str">
        <x:v>What responsive website support looks like</x:v>
      </x:c>
      <x:c r="I31" s="3" t="str">
        <x:v>When something goes wrong, a clear support process helps. Share the page, what you expected, what happened and a screenshot without private details. Agree the next step, then check the change together. Ask us about website support scope and availability for your site.
Discuss website support: https://elan-tech.net/contact/?utm_source=facebook&amp;utm_medium=social&amp;utm_campaign=q4_2026_support&amp;utm_content=d01</x:v>
      </x:c>
      <x:c r="J31" s="3" t="str">
        <x:v>#WebsiteMaintenance #BusinessWebsite #eLanTechnology</x:v>
      </x:c>
      <x:c r="K31" s="3" t="str">
        <x:v>Discuss website support</x:v>
      </x:c>
      <x:c r="L31" s="3" t="str">
        <x:v>https://elan-tech.net/contact/?utm_source=facebook&amp;utm_medium=social&amp;utm_campaign=q4_2026_support&amp;utm_content=d01</x:v>
      </x:c>
      <x:c r="M31" s="3" t="str">
        <x:v>Feed carousel</x:v>
      </x:c>
      <x:c r="N31" s="3" t="str">
        <x:v>COVER: What responsive website support looks like
SLIDE 2: Describe the issue clearly
SLIDE 3: Share steps and a safe screenshot
SLIDE 4: Agree priority and scope
SLIDE 5: Review the change
SLIDE 6: Confirm the issue is resolved
CLOSING: Discuss website support</x:v>
      </x:c>
      <x:c r="O31" s="3" t="str">
        <x:v>Four-panel ticket journey with fictional sample issue, no timestamps implying an SLA. Blue and teal. Avoid customer quotes or a fabricated support rating. Keep headline, logo and captions away from interface overlays.</x:v>
      </x:c>
      <x:c r="P31" s="3" t="str">
        <x:v>1080 × 1350 px</x:v>
      </x:c>
      <x:c r="Q31" s="3" t="str">
        <x:v>What responsive website support looks like. Describe the issue clearly. Share steps and a safe screenshot. Agree priority and scope. Original illustrative graphic by eLan Technology.</x:v>
      </x:c>
      <x:c r="R31" s="3" t="str">
        <x:v>Standard approval No client assets or testimonials. No paid promotion. Test the destination and mobile contact journey.</x:v>
      </x:c>
      <x:c r="S31" s="23" t="str">
        <x:v>☐</x:v>
      </x:c>
      <x:c r="T31" s="23" t="str">
        <x:v>☐</x:v>
      </x:c>
      <x:c r="U31" s="23" t="str">
        <x:v>☐</x:v>
      </x:c>
      <x:c r="V31" s="24"/>
      <x:c r="W31" s="22" t="str"/>
      <x:c r="X31" s="26"/>
      <x:c r="Y31" s="26"/>
      <x:c r="Z31" s="26"/>
      <x:c r="AA31" s="22" t="str"/>
      <x:c r="AB31" s="22" t="str"/>
    </x:row>
    <x:row r="32" ht="260" customHeight="1">
      <x:c r="A32" s="23" t="str">
        <x:v>☐</x:v>
      </x:c>
      <x:c r="B32" s="24" t="n">
        <x:v>46359</x:v>
      </x:c>
      <x:c r="C32" s="25" t="n">
        <x:v>0.7708333333333334</x:v>
      </x:c>
      <x:c r="D32" s="15" t="str">
        <x:v>D02</x:v>
      </x:c>
      <x:c r="E32" s="15" t="str">
        <x:v>Core</x:v>
      </x:c>
      <x:c r="F32" s="22" t="str">
        <x:v>Draft</x:v>
      </x:c>
      <x:c r="G32" s="22" t="str"/>
      <x:c r="H32" s="15" t="str">
        <x:v>Digital access should work for more people</x:v>
      </x:c>
      <x:c r="I32" s="15" t="str">
        <x:v>Readable text, labelled form fields and keyboard access can make everyday website tasks easier. On the International Day of Persons with Disabilities, take a moment to review the journeys people rely on. Accessibility is ongoing work, not a badge added at the end. We can help plan an assessment and improvements.
Discuss an accessibility assessment: https://elan-tech.net/services/ada-compliant-web-design/?utm_source=facebook&amp;utm_medium=social&amp;utm_campaign=q4_2026_accessibility&amp;utm_content=d02</x:v>
      </x:c>
      <x:c r="J32" s="15" t="str">
        <x:v>#WebAccessibility #InclusiveDesign #WCAG</x:v>
      </x:c>
      <x:c r="K32" s="15" t="str">
        <x:v>Discuss an accessibility assessment</x:v>
      </x:c>
      <x:c r="L32" s="15" t="str">
        <x:v>https://elan-tech.net/services/ada-compliant-web-design/?utm_source=facebook&amp;utm_medium=social&amp;utm_campaign=q4_2026_accessibility&amp;utm_content=d02</x:v>
      </x:c>
      <x:c r="M32" s="15" t="str">
        <x:v>Captioned Reel</x:v>
      </x:c>
      <x:c r="N32" s="15" t="str">
        <x:v>COVER: Digital access should work for more people
SLIDE 2: Readable content
SLIDE 3: Clear form labels
SLIDE 4: Keyboard operation
SLIDE 5: Useful error messages
SLIDE 6: Accessibility is ongoing work
CLOSING: Discuss an accessibility assessment</x:v>
      </x:c>
      <x:c r="O32" s="15" t="str">
        <x:v>Inclusive 25-second interface demo, no pity imagery. Show labels, focus and readable contrast using sample data. Add captions and a clear limitation: Starting checks, not certification. Keep headline, logo and captions away from interface overlays.</x:v>
      </x:c>
      <x:c r="P32" s="15" t="str">
        <x:v>1080 × 1920 px</x:v>
      </x:c>
      <x:c r="Q32" s="15" t="str">
        <x:v>Digital access should work for more people. Readable content. Clear form labels. Keyboard operation. Original illustrative graphic by eLan Technology.</x:v>
      </x:c>
      <x:c r="R32" s="15" t="str">
        <x:v>Standard approval No client assets or testimonials. No paid promotion. Test the destination and mobile contact journey.</x:v>
      </x:c>
      <x:c r="S32" s="23" t="str">
        <x:v>☐</x:v>
      </x:c>
      <x:c r="T32" s="23" t="str">
        <x:v>☐</x:v>
      </x:c>
      <x:c r="U32" s="23" t="str">
        <x:v>☐</x:v>
      </x:c>
      <x:c r="V32" s="24"/>
      <x:c r="W32" s="22" t="str"/>
      <x:c r="X32" s="26"/>
      <x:c r="Y32" s="26"/>
      <x:c r="Z32" s="26"/>
      <x:c r="AA32" s="22" t="str"/>
      <x:c r="AB32" s="22" t="str"/>
    </x:row>
    <x:row r="33" ht="260" customHeight="1">
      <x:c r="A33" s="23" t="str">
        <x:v>☐</x:v>
      </x:c>
      <x:c r="B33" s="24" t="n">
        <x:v>46364</x:v>
      </x:c>
      <x:c r="C33" s="25" t="n">
        <x:v>0.7708333333333334</x:v>
      </x:c>
      <x:c r="D33" s="3" t="str">
        <x:v>D03</x:v>
      </x:c>
      <x:c r="E33" s="3" t="str">
        <x:v>Core</x:v>
      </x:c>
      <x:c r="F33" s="22" t="str">
        <x:v>Draft</x:v>
      </x:c>
      <x:c r="G33" s="22" t="str"/>
      <x:c r="H33" s="3" t="str">
        <x:v>Are your business details ready for 2027?</x:v>
      </x:c>
      <x:c r="I33" s="3" t="str">
        <x:v>Before the new year, check the details people use to reach you. Is your phone number correct? Does the email work? Are the services current? Do the links open on a phone? Review your digital card and website together so they tell the same story.
Review your business details: https://elan-tech.net/contact/?utm_source=facebook&amp;utm_medium=social&amp;utm_campaign=q4_2026_digital_card&amp;utm_content=d03</x:v>
      </x:c>
      <x:c r="J33" s="3" t="str">
        <x:v>#DigitalBusinessCard #BusinessNetworking #eLanTechnology</x:v>
      </x:c>
      <x:c r="K33" s="3" t="str">
        <x:v>Review your business details</x:v>
      </x:c>
      <x:c r="L33" s="3" t="str">
        <x:v>https://elan-tech.net/contact/?utm_source=facebook&amp;utm_medium=social&amp;utm_campaign=q4_2026_digital_card&amp;utm_content=d03</x:v>
      </x:c>
      <x:c r="M33" s="3" t="str">
        <x:v>Feed carousel</x:v>
      </x:c>
      <x:c r="N33" s="3" t="str">
        <x:v>COVER: Are your business details ready for 2027?
SLIDE 2: Check the public phone number
SLIDE 3: Test the email and contact route
SLIDE 4: Update service information
SLIDE 5: Open every link on a phone
SLIDE 6: Keep profiles consistent
CLOSING: Review your business details</x:v>
      </x:c>
      <x:c r="O33" s="3" t="str">
        <x:v>Five checklist panels with a fictional profile card. Never show the developer contact number or real personal data. No claim that the subscription product is live unless confirmed. Keep headline, logo and captions away from interface overlays.</x:v>
      </x:c>
      <x:c r="P33" s="3" t="str">
        <x:v>1080 × 1350 px</x:v>
      </x:c>
      <x:c r="Q33" s="3" t="str">
        <x:v>Are your business details ready for 2027?. Check the public phone number. Test the email and contact route. Update service information. Original illustrative graphic by eLan Technology.</x:v>
      </x:c>
      <x:c r="R33" s="3" t="str">
        <x:v>Standard approval No client assets or testimonials. No paid promotion. Test the destination and mobile contact journey.</x:v>
      </x:c>
      <x:c r="S33" s="23" t="str">
        <x:v>☐</x:v>
      </x:c>
      <x:c r="T33" s="23" t="str">
        <x:v>☐</x:v>
      </x:c>
      <x:c r="U33" s="23" t="str">
        <x:v>☐</x:v>
      </x:c>
      <x:c r="V33" s="24"/>
      <x:c r="W33" s="22" t="str"/>
      <x:c r="X33" s="26"/>
      <x:c r="Y33" s="26"/>
      <x:c r="Z33" s="26"/>
      <x:c r="AA33" s="22" t="str"/>
      <x:c r="AB33"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4" ht="260" customHeight="1">
      <x:c r="A34" s="23" t="str">
        <x:v>☐</x:v>
      </x:c>
      <x:c r="B34" s="24" t="n">
        <x:v>46367</x:v>
      </x:c>
      <x:c r="C34" s="25" t="n">
        <x:v>0.7708333333333334</x:v>
      </x:c>
      <x:c r="D34" s="15" t="str">
        <x:v>D04</x:v>
      </x:c>
      <x:c r="E34" s="15" t="str">
        <x:v>Core</x:v>
      </x:c>
      <x:c r="F34" s="22" t="str">
        <x:v>Draft</x:v>
      </x:c>
      <x:c r="G34" s="22" t="str"/>
      <x:c r="H34" s="15" t="str">
        <x:v>Plan your 2027 website before the rush</x:v>
      </x:c>
      <x:c r="I34" s="15" t="str">
        <x:v>What should your website do better next year? Write down the main customer action, content you need, integrations, budget and who will approve decisions. That gives a website conversation a useful starting point. Share your brief with eLan Technology for a scoped proposal.
Request a website planning quote: https://elan-tech.net/contact/?utm_source=facebook&amp;utm_medium=social&amp;utm_campaign=q4_2026_websites&amp;utm_content=d04</x:v>
      </x:c>
      <x:c r="J34" s="15" t="str">
        <x:v>#BusinessWebsite #WebDesign #eLanTechnology</x:v>
      </x:c>
      <x:c r="K34" s="15" t="str">
        <x:v>Request a website planning quote</x:v>
      </x:c>
      <x:c r="L34" s="15" t="str">
        <x:v>https://elan-tech.net/contact/?utm_source=facebook&amp;utm_medium=social&amp;utm_campaign=q4_2026_websites&amp;utm_content=d04</x:v>
      </x:c>
      <x:c r="M34" s="15" t="str">
        <x:v>Feed carousel</x:v>
      </x:c>
      <x:c r="N34" s="15" t="str">
        <x:v>COVER: Plan your 2027 website before the rush
SLIDE 2: Define the main business goal
SLIDE 3: List content and integrations
SLIDE 4: Set a realistic budget
SLIDE 5: Agree who approves decisions
SLIDE 6: Include support after launch
CLOSING: Request a website planning quote</x:v>
      </x:c>
      <x:c r="O34" s="15" t="str">
        <x:v>Six-slide planning workbook aesthetic, cream and blue with orange tabs. Final slide is an empty original brief template, not a real proposal. Keep headline, logo and captions away from interface overlays.</x:v>
      </x:c>
      <x:c r="P34" s="15" t="str">
        <x:v>1080 × 1350 px</x:v>
      </x:c>
      <x:c r="Q34" s="15" t="str">
        <x:v>Plan your 2027 website before the rush. Define the main business goal. List content and integrations. Set a realistic budget. Original illustrative graphic by eLan Technology.</x:v>
      </x:c>
      <x:c r="R34" s="15" t="str">
        <x:v>Standard approval No client assets or testimonials. No paid promotion. Test the destination and mobile contact journey.</x:v>
      </x:c>
      <x:c r="S34" s="23" t="str">
        <x:v>☐</x:v>
      </x:c>
      <x:c r="T34" s="23" t="str">
        <x:v>☐</x:v>
      </x:c>
      <x:c r="U34" s="23" t="str">
        <x:v>☐</x:v>
      </x:c>
      <x:c r="V34" s="24"/>
      <x:c r="W34" s="22" t="str"/>
      <x:c r="X34" s="26"/>
      <x:c r="Y34" s="26"/>
      <x:c r="Z34" s="26"/>
      <x:c r="AA34" s="22" t="str"/>
      <x:c r="AB34" s="22" t="str"/>
    </x:row>
    <x:row r="35" ht="260" customHeight="1">
      <x:c r="A35" s="23" t="str">
        <x:v>☐</x:v>
      </x:c>
      <x:c r="B35" s="24" t="n">
        <x:v>46371</x:v>
      </x:c>
      <x:c r="C35" s="25" t="n">
        <x:v>0.7708333333333334</x:v>
      </x:c>
      <x:c r="D35" s="3" t="str">
        <x:v>D05</x:v>
      </x:c>
      <x:c r="E35" s="3" t="str">
        <x:v>Core</x:v>
      </x:c>
      <x:c r="F35" s="22" t="str">
        <x:v>Draft</x:v>
      </x:c>
      <x:c r="G35" s="22" t="str"/>
      <x:c r="H35" s="3" t="str">
        <x:v>A custom commerce workflow, explained simply</x:v>
      </x:c>
      <x:c r="I35" s="3" t="str">
        <x:v>A customer sees a store. Your team also needs orders, payments, recurring rules and shipping to stay in step. Map the handoffs before adding more features. This sample diagram shows the questions we discuss when planning custom commerce. What part of your process needs less manual work?
Discuss your commerce workflow: https://elan-tech.net/services/ecommerce/?utm_source=facebook&amp;utm_medium=social&amp;utm_campaign=q4_2026_commerce&amp;utm_content=d05</x:v>
      </x:c>
      <x:c r="J35" s="3" t="str">
        <x:v>#eCommerce #CustomDevelopment #OnlineStore</x:v>
      </x:c>
      <x:c r="K35" s="3" t="str">
        <x:v>Discuss your commerce workflow</x:v>
      </x:c>
      <x:c r="L35" s="3" t="str">
        <x:v>https://elan-tech.net/services/ecommerce/?utm_source=facebook&amp;utm_medium=social&amp;utm_campaign=q4_2026_commerce&amp;utm_content=d05</x:v>
      </x:c>
      <x:c r="M35" s="3" t="str">
        <x:v>Captioned Reel</x:v>
      </x:c>
      <x:c r="N35" s="3" t="str">
        <x:v>COVER: A custom commerce workflow, explained simply
SLIDE 2: Customer browses and orders
SLIDE 3: Payment status is confirmed
SLIDE 4: Recurring rules apply if required
SLIDE 5: Fulfilment receives instructions
SLIDE 6: Support can follow the order journey
CLOSING: Discuss your commerce workflow</x:v>
      </x:c>
      <x:c r="O35" s="3" t="str">
        <x:v>30-second animated original diagram, storefront to payments to fulfilment with a support loop. Label Illustrative workflow. No revenue counter, live payments or client screenshots. Keep headline, logo and captions away from interface overlays.</x:v>
      </x:c>
      <x:c r="P35" s="3" t="str">
        <x:v>1080 × 1920 px</x:v>
      </x:c>
      <x:c r="Q35" s="3" t="str">
        <x:v>A custom commerce workflow, explained simply. Customer browses and orders. Payment status is confirmed. Recurring rules apply if required. Original illustrative graphic by eLan Technology.</x:v>
      </x:c>
      <x:c r="R35" s="3" t="str">
        <x:v>Standard approval No client assets or testimonials. No paid promotion. Test the destination and mobile contact journey.</x:v>
      </x:c>
      <x:c r="S35" s="23" t="str">
        <x:v>☐</x:v>
      </x:c>
      <x:c r="T35" s="23" t="str">
        <x:v>☐</x:v>
      </x:c>
      <x:c r="U35" s="23" t="str">
        <x:v>☐</x:v>
      </x:c>
      <x:c r="V35" s="24"/>
      <x:c r="W35" s="22" t="str"/>
      <x:c r="X35" s="26"/>
      <x:c r="Y35" s="26"/>
      <x:c r="Z35" s="26"/>
      <x:c r="AA35" s="22" t="str"/>
      <x:c r="AB35" s="22" t="str"/>
    </x:row>
    <x:row r="36" ht="260" customHeight="1">
      <x:c r="A36" s="23" t="str">
        <x:v>☐</x:v>
      </x:c>
      <x:c r="B36" s="24" t="n">
        <x:v>46374</x:v>
      </x:c>
      <x:c r="C36" s="25" t="n">
        <x:v>0.7708333333333334</x:v>
      </x:c>
      <x:c r="D36" s="15" t="str">
        <x:v>D06</x:v>
      </x:c>
      <x:c r="E36" s="15" t="str">
        <x:v>Core</x:v>
      </x:c>
      <x:c r="F36" s="22" t="str">
        <x:v>Draft</x:v>
      </x:c>
      <x:c r="G36" s="22" t="str"/>
      <x:c r="H36" s="15" t="str">
        <x:v>Read the subscription details before you choose</x:v>
      </x:c>
      <x:c r="I36" s="15" t="str">
        <x:v>Before choosing a digital-card subscription, check the included features, billing interval, plan limits, renewal and cancellation terms. Compare what you actually need, not only the headline price. Our subscription prices are quoted + GST. Ask for the current plan details before signing up.
Request subscription plan details: https://elan-tech.net/contact/?utm_source=facebook&amp;utm_medium=social&amp;utm_campaign=q4_2026_digital_card&amp;utm_content=d06</x:v>
      </x:c>
      <x:c r="J36" s="15" t="str">
        <x:v>#DigitalBusinessCard #BusinessNetworking #eLanTechnology</x:v>
      </x:c>
      <x:c r="K36" s="15" t="str">
        <x:v>Request subscription plan details</x:v>
      </x:c>
      <x:c r="L36" s="15" t="str">
        <x:v>https://elan-tech.net/contact/?utm_source=facebook&amp;utm_medium=social&amp;utm_campaign=q4_2026_digital_card&amp;utm_content=d06</x:v>
      </x:c>
      <x:c r="M36" s="15" t="str">
        <x:v>Feed carousel</x:v>
      </x:c>
      <x:c r="N36" s="15" t="str">
        <x:v>COVER: Read the subscription details before you choose
SLIDE 2: What features are included?
SLIDE 3: How often is the plan billed?
SLIDE 4: What limits apply?
SLIDE 5: How do renewal and cancellation work?
SLIDE 6: Prices are quoted + GST
CLOSING: Request subscription plan details</x:v>
      </x:c>
      <x:c r="O36" s="15" t="str">
        <x:v>Clean five-panel plan-reading guide. Do not invent a tier, free plan, fee or cancellation promise. Insert actual prices only after approval, always beside + GST. Keep headline, logo and captions away from interface overlays.</x:v>
      </x:c>
      <x:c r="P36" s="15" t="str">
        <x:v>1080 × 1350 px</x:v>
      </x:c>
      <x:c r="Q36" s="15" t="str">
        <x:v>Read the subscription details before you choose. What features are included?. How often is the plan billed?. What limits apply?. Original illustrative graphic by eLan Technology.</x:v>
      </x:c>
      <x:c r="R36" s="15" t="str">
        <x:v>Approve plan terms before adding prices or purchase link No client assets or testimonials. No paid promotion. Test the destination and mobile contact journey.</x:v>
      </x:c>
      <x:c r="S36" s="23" t="str">
        <x:v>☐</x:v>
      </x:c>
      <x:c r="T36" s="23" t="str">
        <x:v>☐</x:v>
      </x:c>
      <x:c r="U36" s="23" t="str">
        <x:v>☐</x:v>
      </x:c>
      <x:c r="V36" s="24"/>
      <x:c r="W36" s="22" t="str"/>
      <x:c r="X36" s="26"/>
      <x:c r="Y36" s="26"/>
      <x:c r="Z36" s="26"/>
      <x:c r="AA36" s="22" t="str"/>
      <x:c r="AB36"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7" ht="260" customHeight="1">
      <x:c r="A37" s="23" t="str">
        <x:v>☐</x:v>
      </x:c>
      <x:c r="B37" s="24" t="n">
        <x:v>46378</x:v>
      </x:c>
      <x:c r="C37" s="25" t="n">
        <x:v>0.7708333333333334</x:v>
      </x:c>
      <x:c r="D37" s="3" t="str">
        <x:v>D07</x:v>
      </x:c>
      <x:c r="E37" s="3" t="str">
        <x:v>Core</x:v>
      </x:c>
      <x:c r="F37" s="22" t="str">
        <x:v>Draft</x:v>
      </x:c>
      <x:c r="G37" s="22" t="str"/>
      <x:c r="H37" s="3" t="str">
        <x:v>Small website details worth getting right</x:v>
      </x:c>
      <x:c r="I37" s="3" t="str">
        <x:v>Readable text. A mobile menu that works. Useful product details. Clear form labels. Correct contact information. Visible keyboard focus. These details deserve attention because they affect everyday tasks. Save this list for your next website review, or ask us to discuss improvements.
Discuss website improvements: https://elan-tech.net/contact/?utm_source=facebook&amp;utm_medium=social&amp;utm_campaign=q4_2026_websites&amp;utm_content=d07</x:v>
      </x:c>
      <x:c r="J37" s="3" t="str">
        <x:v>#BusinessWebsite #WebDesign #eLanTechnology</x:v>
      </x:c>
      <x:c r="K37" s="3" t="str">
        <x:v>Discuss website improvements</x:v>
      </x:c>
      <x:c r="L37" s="3" t="str">
        <x:v>https://elan-tech.net/contact/?utm_source=facebook&amp;utm_medium=social&amp;utm_campaign=q4_2026_websites&amp;utm_content=d07</x:v>
      </x:c>
      <x:c r="M37" s="3" t="str">
        <x:v>Feed carousel</x:v>
      </x:c>
      <x:c r="N37" s="3" t="str">
        <x:v>COVER: Small website details worth getting right
SLIDE 2: Read the text on a phone
SLIDE 3: Use the mobile menu
SLIDE 4: Check product and service details
SLIDE 5: Test forms and contact routes
SLIDE 6: Review keyboard focus
CLOSING: Discuss website improvements</x:v>
      </x:c>
      <x:c r="O37" s="3" t="str">
        <x:v>Six short original demo clips or six-slide carousel. One detail per frame, blue base with teal accents. No portfolio montage or client logos. Keep headline, logo and captions away from interface overlays.</x:v>
      </x:c>
      <x:c r="P37" s="3" t="str">
        <x:v>1080 × 1350 px</x:v>
      </x:c>
      <x:c r="Q37" s="3" t="str">
        <x:v>Small website details worth getting right. Read the text on a phone. Use the mobile menu. Check product and service details. Original illustrative graphic by eLan Technology.</x:v>
      </x:c>
      <x:c r="R37" s="3" t="str">
        <x:v>Standard approval No client assets or testimonials. No paid promotion. Test the destination and mobile contact journey.</x:v>
      </x:c>
      <x:c r="S37" s="23" t="str">
        <x:v>☐</x:v>
      </x:c>
      <x:c r="T37" s="23" t="str">
        <x:v>☐</x:v>
      </x:c>
      <x:c r="U37" s="23" t="str">
        <x:v>☐</x:v>
      </x:c>
      <x:c r="V37" s="24"/>
      <x:c r="W37" s="22" t="str"/>
      <x:c r="X37" s="26"/>
      <x:c r="Y37" s="26"/>
      <x:c r="Z37" s="26"/>
      <x:c r="AA37" s="22" t="str"/>
      <x:c r="AB37" s="22" t="str"/>
    </x:row>
    <x:row r="38" ht="260" customHeight="1">
      <x:c r="A38" s="23" t="str">
        <x:v>☐</x:v>
      </x:c>
      <x:c r="B38" s="24" t="n">
        <x:v>46381</x:v>
      </x:c>
      <x:c r="C38" s="25" t="n">
        <x:v>0.7708333333333334</x:v>
      </x:c>
      <x:c r="D38" s="15" t="str">
        <x:v>D08</x:v>
      </x:c>
      <x:c r="E38" s="15" t="str">
        <x:v>Core</x:v>
      </x:c>
      <x:c r="F38" s="22" t="str">
        <x:v>Draft</x:v>
      </x:c>
      <x:c r="G38" s="22" t="str"/>
      <x:c r="H38" s="15" t="str">
        <x:v>Wishing you a warm and peaceful Christmas</x:v>
      </x:c>
      <x:c r="I38" s="15" t="str">
        <x:v>Merry Christmas from eLan Technology. Wishing you time to rest, connect with the people who matter and enjoy the season.</x:v>
      </x:c>
      <x:c r="J38" s="15" t="str">
        <x:v>#eLanTechnology</x:v>
      </x:c>
      <x:c r="K38" s="15" t="str">
        <x:v>No sales CTA</x:v>
      </x:c>
      <x:c r="L38" s="15" t="str"/>
      <x:c r="M38" s="15" t="str">
        <x:v>Feed carousel</x:v>
      </x:c>
      <x:c r="N38" s="15" t="str">
        <x:v>COVER: Wishing you a warm and peaceful Christmas
SLIDE 2: Merry Christmas
SLIDE 3: Warm wishes from eLan Technology
SLIDE 4: Wishing you a peaceful holiday season
CLOSING: No sales CTA</x:v>
      </x:c>
      <x:c r="O38" s="15" t="str">
        <x:v>Bright cream card, fine blue line illustration of a tree with a small orange star. Minimal five-second animation optional. No price, sale, client assets or CTA. Keep headline, logo and captions away from interface overlays.</x:v>
      </x:c>
      <x:c r="P38" s="15" t="str">
        <x:v>1080 × 1350 px</x:v>
      </x:c>
      <x:c r="Q38" s="15" t="str">
        <x:v>Wishing you a warm and peaceful Christmas. Merry Christmas. Warm wishes from eLan Technology. Wishing you a peaceful holiday season. Original illustrative graphic by eLan Technology.</x:v>
      </x:c>
      <x:c r="R38" s="15" t="str">
        <x:v>Standard approval No client assets or testimonials. No paid promotion. Test the destination and mobile contact journey.</x:v>
      </x:c>
      <x:c r="S38" s="23" t="str">
        <x:v>☐</x:v>
      </x:c>
      <x:c r="T38" s="23" t="str">
        <x:v>☐</x:v>
      </x:c>
      <x:c r="U38" s="23" t="str">
        <x:v>☐</x:v>
      </x:c>
      <x:c r="V38" s="24"/>
      <x:c r="W38" s="22" t="str"/>
      <x:c r="X38" s="26"/>
      <x:c r="Y38" s="26"/>
      <x:c r="Z38" s="26"/>
      <x:c r="AA38" s="22" t="str"/>
      <x:c r="AB38" s="22" t="str"/>
    </x:row>
    <x:row r="39" ht="260" customHeight="1">
      <x:c r="A39" s="23" t="str">
        <x:v>☐</x:v>
      </x:c>
      <x:c r="B39" s="24" t="n">
        <x:v>46385</x:v>
      </x:c>
      <x:c r="C39" s="25" t="n">
        <x:v>0.7708333333333334</x:v>
      </x:c>
      <x:c r="D39" s="3" t="str">
        <x:v>D09</x:v>
      </x:c>
      <x:c r="E39" s="3" t="str">
        <x:v>Core</x:v>
      </x:c>
      <x:c r="F39" s="22" t="str">
        <x:v>Draft</x:v>
      </x:c>
      <x:c r="G39" s="22" t="str"/>
      <x:c r="H39" s="3" t="str">
        <x:v>What should work better for your business next year?</x:v>
      </x:c>
      <x:c r="I39" s="3" t="str">
        <x:v>An easier introduction? A clearer business website? A store that fits the way you sell? Choose the customer task you most want to improve in 2027. Tell us the priority and we can discuss the right next step without adding features you do not need.
Tell us your 2027 priority: https://elan-tech.net/contact/?utm_source=facebook&amp;utm_medium=social&amp;utm_campaign=q4_2026_websites&amp;utm_content=d09</x:v>
      </x:c>
      <x:c r="J39" s="3" t="str">
        <x:v>#BusinessWebsite #WebDesign #eLanTechnology</x:v>
      </x:c>
      <x:c r="K39" s="3" t="str">
        <x:v>Tell us your 2027 priority</x:v>
      </x:c>
      <x:c r="L39" s="3" t="str">
        <x:v>https://elan-tech.net/contact/?utm_source=facebook&amp;utm_medium=social&amp;utm_campaign=q4_2026_websites&amp;utm_content=d09</x:v>
      </x:c>
      <x:c r="M39" s="3" t="str">
        <x:v>Feed carousel</x:v>
      </x:c>
      <x:c r="N39" s="3" t="str">
        <x:v>COVER: What should work better for your business next year?
SLIDE 2: Make introductions easier
SLIDE 3: Explain services more clearly
SLIDE 4: Improve the shopping journey
SLIDE 5: Choose one priority
SLIDE 6: Plan the next step around it
CLOSING: Tell us your 2027 priority</x:v>
      </x:c>
      <x:c r="O39" s="3" t="str">
        <x:v>Three distinct rectangular panels: introduction, business website, commerce. Original icons and sample layouts. Keep subscription product and development services separate. Keep headline, logo and captions away from interface overlays.</x:v>
      </x:c>
      <x:c r="P39" s="3" t="str">
        <x:v>1080 × 1350 px</x:v>
      </x:c>
      <x:c r="Q39" s="3" t="str">
        <x:v>What should work better for your business next year?. Make introductions easier. Explain services more clearly. Improve the shopping journey. Original illustrative graphic by eLan Technology.</x:v>
      </x:c>
      <x:c r="R39" s="3" t="str">
        <x:v>Standard approval No client assets or testimonials. No paid promotion. Test the destination and mobile contact journey.</x:v>
      </x:c>
      <x:c r="S39" s="23" t="str">
        <x:v>☐</x:v>
      </x:c>
      <x:c r="T39" s="23" t="str">
        <x:v>☐</x:v>
      </x:c>
      <x:c r="U39" s="23" t="str">
        <x:v>☐</x:v>
      </x:c>
      <x:c r="V39" s="24"/>
      <x:c r="W39" s="22" t="str"/>
      <x:c r="X39" s="26"/>
      <x:c r="Y39" s="26"/>
      <x:c r="Z39" s="26"/>
      <x:c r="AA39" s="22" t="str"/>
      <x:c r="AB39" s="22" t="str"/>
    </x:row>
    <x:row r="40" ht="260" customHeight="1">
      <x:c r="A40" s="23" t="str">
        <x:v>☐</x:v>
      </x:c>
      <x:c r="B40" s="24" t="n">
        <x:v>46387</x:v>
      </x:c>
      <x:c r="C40" s="25" t="n">
        <x:v>0.7708333333333334</x:v>
      </x:c>
      <x:c r="D40" s="15" t="str">
        <x:v>D10</x:v>
      </x:c>
      <x:c r="E40" s="15" t="str">
        <x:v>Core</x:v>
      </x:c>
      <x:c r="F40" s="22" t="str">
        <x:v>Draft</x:v>
      </x:c>
      <x:c r="G40" s="22" t="str"/>
      <x:c r="H40" s="15" t="str">
        <x:v>Thank you for being part of our year</x:v>
      </x:c>
      <x:c r="I40" s="15" t="str">
        <x:v>Thank you for the conversations, questions and encouragement this year. We look forward to helping businesses make their websites and digital experiences more useful in 2027. Wishing you a happy new year from eLan Technology.</x:v>
      </x:c>
      <x:c r="J40" s="15" t="str">
        <x:v>#eLanTechnology</x:v>
      </x:c>
      <x:c r="K40" s="15" t="str">
        <x:v>No sales CTA</x:v>
      </x:c>
      <x:c r="L40" s="15" t="str"/>
      <x:c r="M40" s="15" t="str">
        <x:v>Captioned Reel</x:v>
      </x:c>
      <x:c r="N40" s="15" t="str">
        <x:v>COVER: Thank you for being part of our year
SLIDE 2: Thank you for being part of our year
SLIDE 3: Here is to thoughtful work and clear communication
SLIDE 4: Wishing you a happy 2027
SLIDE 5: From eLan Technology
CLOSING: No sales CTA</x:v>
      </x:c>
      <x:c r="O40" s="15" t="str">
        <x:v>20-second genuine founder thank-you, or a clean typographic animation. No client montage, invented annual totals or unapproved team claims. Keep headline, logo and captions away from interface overlays.</x:v>
      </x:c>
      <x:c r="P40" s="15" t="str">
        <x:v>1080 × 1920 px</x:v>
      </x:c>
      <x:c r="Q40" s="15" t="str">
        <x:v>Thank you for being part of our year. Thank you for being part of our year. Here is to thoughtful work and clear communication. Wishing you a happy 2027. Original illustrative graphic by eLan Technology.</x:v>
      </x:c>
      <x:c r="R40" s="15" t="str">
        <x:v>Standard approval No client assets or testimonials. No paid promotion. Test the destination and mobile contact journey.</x:v>
      </x:c>
      <x:c r="S40" s="23" t="str">
        <x:v>☐</x:v>
      </x:c>
      <x:c r="T40" s="23" t="str">
        <x:v>☐</x:v>
      </x:c>
      <x:c r="U40" s="23" t="str">
        <x:v>☐</x:v>
      </x:c>
      <x:c r="V40" s="24"/>
      <x:c r="W40" s="22" t="str"/>
      <x:c r="X40" s="26"/>
      <x:c r="Y40" s="26"/>
      <x:c r="Z40" s="26"/>
      <x:c r="AA40" s="22" t="str"/>
      <x:c r="AB40" s="22" t="str"/>
    </x:row>
  </x:sheetData>
  <x:conditionalFormatting sqref="A6:A40">
    <x:cfRule type="cellIs" dxfId="0" priority="1" operator="equal">
      <x:formula>"✓"</x:formula>
    </x:cfRule>
  </x:conditionalFormatting>
  <x:conditionalFormatting sqref="S6:U40">
    <x:cfRule type="cellIs" dxfId="1" priority="2" operator="equal">
      <x:formula>"✓"</x:formula>
    </x:cfRule>
  </x:conditionalFormatting>
  <x:dataValidations count="4">
    <x:dataValidation type="list" sqref="A6:A40">
      <x:formula1>"☐,✓,N/A"</x:formula1>
    </x:dataValidation>
    <x:dataValidation type="list" sqref="S6:U40">
      <x:formula1>"☐,✓"</x:formula1>
    </x:dataValidation>
    <x:dataValidation type="list" sqref="F6:F40">
      <x:formula1>"Draft,In production,Ready,Scheduled,Published,Hold,Skipped"</x:formula1>
    </x:dataValidation>
    <x:dataValidation type="list" sqref="E6:E40">
      <x:formula1>"Core,Conditional,Optional"</x:formula1>
    </x:dataValidation>
  </x:dataValidations>
  <x:pageMargins left="0.7" right="0.7" top="0.75" bottom="0.75" header="0.3" footer="0.3"/>
  <x:tableParts count="1">
    <x:tablePart xmlns:r="http://schemas.openxmlformats.org/officeDocument/2006/relationships" r:id="R83e0f4663128461c"/>
  </x:tableParts>
</x:worksheet>
</file>

<file path=xl/worksheets/sheet3.xml><?xml version="1.0" encoding="utf-8"?>
<x:worksheet xmlns:x="http://schemas.openxmlformats.org/spreadsheetml/2006/main">
  <x:sheetPr>
    <x:tabColor rgb="FF173C65"/>
  </x:sheetPr>
  <x:sheetViews>
    <x:sheetView showGridLines="0" workbookViewId="0">
      <x:pane xSplit="4" ySplit="5" topLeftCell="E6" activePane="bottomRight" state="frozen"/>
    </x:sheetView>
  </x:sheetViews>
  <x:sheetFormatPr defaultRowHeight="15"/>
  <x:cols>
    <x:col min="1" max="1" width="12" hidden="0" customWidth="1"/>
    <x:col min="2" max="2" width="15" hidden="0" customWidth="1"/>
    <x:col min="3" max="3" width="12" hidden="0" customWidth="1"/>
    <x:col min="4" max="4" width="11" hidden="0" customWidth="1"/>
    <x:col min="5" max="5" width="14" hidden="0" customWidth="1"/>
    <x:col min="6" max="6" width="15" hidden="0" customWidth="1"/>
    <x:col min="7" max="7" width="18" hidden="0" customWidth="1"/>
    <x:col min="8" max="8" width="39" hidden="0" customWidth="1"/>
    <x:col min="9" max="9" width="83" hidden="0" customWidth="1"/>
    <x:col min="10" max="10" width="30" hidden="0" customWidth="1"/>
    <x:col min="11" max="11" width="28" hidden="0" customWidth="1"/>
    <x:col min="12" max="12" width="48" hidden="0" customWidth="1"/>
    <x:col min="13" max="13" width="23" hidden="0" customWidth="1"/>
    <x:col min="14" max="14" width="63" hidden="0" customWidth="1"/>
    <x:col min="15" max="15" width="65" hidden="0" customWidth="1"/>
    <x:col min="16" max="16" width="22" hidden="0" customWidth="1"/>
    <x:col min="17" max="17" width="60" hidden="0" customWidth="1"/>
    <x:col min="18" max="18" width="64" hidden="0" customWidth="1"/>
    <x:col min="19" max="19" width="13" hidden="0" customWidth="1"/>
    <x:col min="20" max="20" width="13" hidden="0" customWidth="1"/>
    <x:col min="21" max="21" width="13" hidden="0" customWidth="1"/>
    <x:col min="22" max="22" width="15" hidden="0" customWidth="1"/>
    <x:col min="23" max="23" width="44" hidden="0" customWidth="1"/>
    <x:col min="24" max="24" width="15" hidden="0" customWidth="1"/>
    <x:col min="25" max="25" width="15" hidden="0" customWidth="1"/>
    <x:col min="26" max="26" width="18" hidden="0" customWidth="1"/>
    <x:col min="27" max="27" width="40" hidden="0" customWidth="1"/>
    <x:col min="28" max="28" width="65" hidden="0" customWidth="1"/>
  </x:cols>
  <x:sheetData>
    <x:row r="1" ht="28" customHeight="1">
      <x:c r="A1" s="5" t="str">
        <x:v>Instagram calendar</x:v>
      </x:c>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22" customHeight="1">
      <x:c r="A2" s="7" t="str">
        <x:v>11 September–31 December 2026. Tick Published only after it is live. Amber cells are tracking inputs. Scroll right for complete copy and visuals.</x:v>
      </x:c>
      <x:c r="B2" s="3"/>
      <x:c r="C2" s="3"/>
      <x:c r="D2" s="3"/>
      <x:c r="E2" s="3"/>
      <x:c r="F2" s="3"/>
      <x:c r="G2" s="3"/>
      <x:c r="H2" s="3"/>
      <x:c r="I2" s="3"/>
      <x:c r="J2" s="3"/>
      <x:c r="K2" s="3"/>
      <x:c r="L2" s="3"/>
      <x:c r="M2" s="3"/>
      <x:c r="N2" s="3"/>
      <x:c r="O2" s="3"/>
      <x:c r="P2" s="3"/>
      <x:c r="Q2" s="3"/>
      <x:c r="R2" s="3"/>
      <x:c r="S2" s="3"/>
      <x:c r="T2" s="3"/>
      <x:c r="U2" s="3"/>
      <x:c r="V2" s="3"/>
      <x:c r="W2" s="3"/>
      <x:c r="X2" s="3"/>
      <x:c r="Y2" s="3"/>
      <x:c r="Z2" s="3"/>
      <x:c r="AA2" s="3"/>
      <x:c r="AB2" s="3"/>
    </x:row>
    <x:row r="3">
      <x:c r="A3" s="8"/>
      <x:c r="B3" s="8"/>
      <x:c r="C3" s="8"/>
      <x:c r="D3" s="8"/>
      <x:c r="E3" s="8"/>
      <x:c r="F3" s="8"/>
      <x:c r="G3" s="8"/>
      <x:c r="H3" s="8"/>
      <x:c r="I3" s="8"/>
      <x:c r="J3" s="8"/>
      <x:c r="K3" s="8"/>
      <x:c r="L3" s="8"/>
      <x:c r="M3" s="8"/>
      <x:c r="N3" s="8"/>
      <x:c r="O3" s="8"/>
      <x:c r="P3" s="8"/>
      <x:c r="Q3" s="8"/>
      <x:c r="R3" s="8"/>
      <x:c r="S3" s="8"/>
      <x:c r="T3" s="8"/>
      <x:c r="U3" s="8"/>
      <x:c r="V3" s="8"/>
      <x:c r="W3" s="8"/>
      <x:c r="X3" s="8"/>
      <x:c r="Y3" s="8"/>
      <x:c r="Z3" s="8"/>
      <x:c r="AA3" s="8"/>
      <x:c r="AB3" s="8"/>
    </x:row>
    <x:row r="4">
      <x:c r="A4" s="3"/>
      <x:c r="B4" s="3"/>
      <x:c r="C4" s="3"/>
      <x:c r="D4" s="3"/>
      <x:c r="E4" s="3"/>
      <x:c r="F4" s="3"/>
      <x:c r="G4" s="3"/>
      <x:c r="H4" s="3"/>
      <x:c r="I4" s="3"/>
      <x:c r="J4" s="3"/>
      <x:c r="K4" s="3"/>
      <x:c r="L4" s="3"/>
      <x:c r="M4" s="3"/>
      <x:c r="N4" s="3"/>
      <x:c r="O4" s="3"/>
      <x:c r="P4" s="3"/>
      <x:c r="Q4" s="3"/>
      <x:c r="R4" s="3"/>
      <x:c r="S4" s="3"/>
      <x:c r="T4" s="3"/>
      <x:c r="U4" s="3"/>
      <x:c r="V4" s="3"/>
      <x:c r="W4" s="3"/>
      <x:c r="X4" s="3"/>
      <x:c r="Y4" s="3"/>
      <x:c r="Z4" s="3"/>
      <x:c r="AA4" s="3"/>
      <x:c r="AB4" s="3"/>
    </x:row>
    <x:row r="5" ht="36" customHeight="1">
      <x:c r="A5" s="12" t="str">
        <x:v>Published</x:v>
      </x:c>
      <x:c r="B5" s="13" t="str">
        <x:v>Planned date</x:v>
      </x:c>
      <x:c r="C5" s="13" t="str">
        <x:v>Time IST</x:v>
      </x:c>
      <x:c r="D5" s="13" t="str">
        <x:v>Post ID</x:v>
      </x:c>
      <x:c r="E5" s="13" t="str">
        <x:v>Priority</x:v>
      </x:c>
      <x:c r="F5" s="13" t="str">
        <x:v>Workflow</x:v>
      </x:c>
      <x:c r="G5" s="13" t="str">
        <x:v>Owner</x:v>
      </x:c>
      <x:c r="H5" s="13" t="str">
        <x:v>Post heading</x:v>
      </x:c>
      <x:c r="I5" s="13" t="str">
        <x:v>Full caption / Status text</x:v>
      </x:c>
      <x:c r="J5" s="13" t="str">
        <x:v>Hashtags</x:v>
      </x:c>
      <x:c r="K5" s="13" t="str">
        <x:v>Call to action</x:v>
      </x:c>
      <x:c r="L5" s="13" t="str">
        <x:v>Destination URL</x:v>
      </x:c>
      <x:c r="M5" s="13" t="str">
        <x:v>Format</x:v>
      </x:c>
      <x:c r="N5" s="13" t="str">
        <x:v>On-artwork text / slides</x:v>
      </x:c>
      <x:c r="O5" s="13" t="str">
        <x:v>Graphic / video direction</x:v>
      </x:c>
      <x:c r="P5" s="13" t="str">
        <x:v>Canvas size</x:v>
      </x:c>
      <x:c r="Q5" s="13" t="str">
        <x:v>Suggested alt text</x:v>
      </x:c>
      <x:c r="R5" s="13" t="str">
        <x:v>Before publishing</x:v>
      </x:c>
      <x:c r="S5" s="13" t="str">
        <x:v>Copy approved</x:v>
      </x:c>
      <x:c r="T5" s="13" t="str">
        <x:v>Asset ready</x:v>
      </x:c>
      <x:c r="U5" s="13" t="str">
        <x:v>Link tested</x:v>
      </x:c>
      <x:c r="V5" s="13" t="str">
        <x:v>Actual date</x:v>
      </x:c>
      <x:c r="W5" s="13" t="str">
        <x:v>Published URL</x:v>
      </x:c>
      <x:c r="X5" s="13" t="str">
        <x:v>Reach / views</x:v>
      </x:c>
      <x:c r="Y5" s="13" t="str">
        <x:v>Link clicks</x:v>
      </x:c>
      <x:c r="Z5" s="13" t="str">
        <x:v>Qualified enquiries</x:v>
      </x:c>
      <x:c r="AA5" s="13" t="str">
        <x:v>Notes</x:v>
      </x:c>
      <x:c r="AB5" s="14" t="str">
        <x:v>Fallback caption</x:v>
      </x:c>
    </x:row>
    <x:row r="6" ht="260" customHeight="1">
      <x:c r="A6" s="23" t="str">
        <x:v>☐</x:v>
      </x:c>
      <x:c r="B6" s="24" t="n">
        <x:v>46276</x:v>
      </x:c>
      <x:c r="C6" s="25" t="n">
        <x:v>0.7916666666666666</x:v>
      </x:c>
      <x:c r="D6" s="15" t="str">
        <x:v>S01</x:v>
      </x:c>
      <x:c r="E6" s="15" t="str">
        <x:v>Core</x:v>
      </x:c>
      <x:c r="F6" s="22" t="str">
        <x:v>Draft</x:v>
      </x:c>
      <x:c r="G6" s="22" t="str"/>
      <x:c r="H6" s="15" t="str">
        <x:v>A fresh start for your business online</x:v>
      </x:c>
      <x:c r="I6" s="15" t="str">
        <x:v>A fresh start for your business online.
• Digital Launchpad opens 14 September
• One plan: ₹32,000 + GST
• Bookings: 14–25 September 2026
• Ask for the written scope before booking
Digital Launchpad: ₹32,000 + GST. Bookings 14–25 September 2026. Review the written scope and terms.
Save this for your next website conversation. Request the offer details through the link in our bio.</x:v>
      </x:c>
      <x:c r="J6" s="15" t="str">
        <x:v>#BusinessWebsite #NagpurBusiness #eLanTechnology</x:v>
      </x:c>
      <x:c r="K6" s="15" t="str">
        <x:v>Link in bio or relevant DM reply</x:v>
      </x:c>
      <x:c r="L6" s="15" t="str">
        <x:v>https://elan-tech.net/pricing/digital-launchpad/?utm_source=instagram&amp;utm_medium=social&amp;utm_campaign=q4_2026_launchpad&amp;utm_content=s01</x:v>
      </x:c>
      <x:c r="M6" s="15" t="str">
        <x:v>Feed carousel</x:v>
      </x:c>
      <x:c r="N6" s="15" t="str">
        <x:v>COVER: A fresh start for your business online
SLIDE 2: Digital Launchpad opens 14 September
SLIDE 3: One plan: ₹32,000 + GST
SLIDE 4: Bookings: 14–25 September 2026
SLIDE 5: Ask for the written scope before booking
CLOSING: Request the offer details</x:v>
      </x:c>
      <x:c r="O6" s="15" t="str">
        <x:v>Cream background, orange date strip and blue headline. Build an original desktop-and-phone wireframe, clearly labelled Sample layout. No client screens. Keep + GST as prominent as the price. Keep headline, logo and captions away from interface overlays.</x:v>
      </x:c>
      <x:c r="P6" s="15" t="str">
        <x:v>1080 × 1350 px</x:v>
      </x:c>
      <x:c r="Q6" s="15" t="str">
        <x:v>A fresh start for your business online. Digital Launchpad opens 14 September. One plan: ₹32,000 + GST. Bookings: 14–25 September 2026. Digital Launchpad costs ₹32,000 plus GST, with bookings from 14 to 25 September 2026. Original illustrative graphic by eLan Technology.</x:v>
      </x:c>
      <x:c r="R6" s="15" t="str">
        <x:v>Approve final scope and offer landing page before publication No client assets or testimonials. No paid promotion. Test the destination and mobile contact journey. Update and test the profile link before using the caption CTA.</x:v>
      </x:c>
      <x:c r="S6" s="23" t="str">
        <x:v>☐</x:v>
      </x:c>
      <x:c r="T6" s="23" t="str">
        <x:v>☐</x:v>
      </x:c>
      <x:c r="U6" s="23" t="str">
        <x:v>☐</x:v>
      </x:c>
      <x:c r="V6" s="24"/>
      <x:c r="W6" s="22" t="str"/>
      <x:c r="X6" s="26"/>
      <x:c r="Y6" s="26"/>
      <x:c r="Z6" s="26"/>
      <x:c r="AA6" s="22" t="str"/>
      <x:c r="AB6" s="22" t="str"/>
    </x:row>
    <x:row r="7" ht="260" customHeight="1">
      <x:c r="A7" s="23" t="str">
        <x:v>☐</x:v>
      </x:c>
      <x:c r="B7" s="24" t="n">
        <x:v>46279</x:v>
      </x:c>
      <x:c r="C7" s="25" t="n">
        <x:v>0.7916666666666666</x:v>
      </x:c>
      <x:c r="D7" s="3" t="str">
        <x:v>S02</x:v>
      </x:c>
      <x:c r="E7" s="3" t="str">
        <x:v>Core</x:v>
      </x:c>
      <x:c r="F7" s="22" t="str">
        <x:v>Draft</x:v>
      </x:c>
      <x:c r="G7" s="22" t="str"/>
      <x:c r="H7" s="3" t="str">
        <x:v>Digital Launchpad is open: ₹32,000 + GST</x:v>
      </x:c>
      <x:c r="I7" s="3" t="str">
        <x:v>Digital Launchpad is open: ₹32,000 + GST.
• Digital Launchpad is now open
• ₹32,000 + GST
• 14–25 September 2026
• Check scope and terms
Digital Launchpad: ₹32,000 + GST. Bookings 14–25 September 2026. Review the written scope and terms.
Save this for your next website conversation. Request this offer through the link in our bio.</x:v>
      </x:c>
      <x:c r="J7" s="3" t="str">
        <x:v>#BusinessWebsite #NagpurBusiness #eLanTechnology</x:v>
      </x:c>
      <x:c r="K7" s="3" t="str">
        <x:v>Link in bio or relevant DM reply</x:v>
      </x:c>
      <x:c r="L7" s="3" t="str">
        <x:v>https://elan-tech.net/pricing/digital-launchpad/?utm_source=instagram&amp;utm_medium=social&amp;utm_campaign=q4_2026_launchpad&amp;utm_content=s02</x:v>
      </x:c>
      <x:c r="M7" s="3" t="str">
        <x:v>Feed carousel</x:v>
      </x:c>
      <x:c r="N7" s="3" t="str">
        <x:v>COVER: Digital Launchpad is open: ₹32,000 + GST
SLIDE 2: Digital Launchpad is now open
SLIDE 3: ₹32,000 + GST
SLIDE 4: 14–25 September 2026
SLIDE 5: Check scope and terms
SLIDE 6: Request the offer details
CLOSING: Request this offer</x:v>
      </x:c>
      <x:c r="O7" s="3" t="str">
        <x:v>Price-led poster with a clean rectangular sample browser. Large ₹32,000, visible + GST beside it, booking dates below. Avoid a long feature list until inclusions are approved. Keep headline, logo and captions away from interface overlays.</x:v>
      </x:c>
      <x:c r="P7" s="3" t="str">
        <x:v>1080 × 1350 px</x:v>
      </x:c>
      <x:c r="Q7" s="3" t="str">
        <x:v>Digital Launchpad is open: ₹32,000 + GST. Digital Launchpad is now open. ₹32,000 + GST. 14–25 September 2026. Digital Launchpad costs ₹32,000 plus GST, with bookings from 14 to 25 September 2026. Original illustrative graphic by eLan Technology.</x:v>
      </x:c>
      <x:c r="R7" s="3" t="str">
        <x:v>Approve scope, payment terms and offer page; GBP Offer ends 25 September 2026 No client assets or testimonials. No paid promotion. Test the destination and mobile contact journey. Update and test the profile link before using the caption CTA.</x:v>
      </x:c>
      <x:c r="S7" s="23" t="str">
        <x:v>☐</x:v>
      </x:c>
      <x:c r="T7" s="23" t="str">
        <x:v>☐</x:v>
      </x:c>
      <x:c r="U7" s="23" t="str">
        <x:v>☐</x:v>
      </x:c>
      <x:c r="V7" s="24"/>
      <x:c r="W7" s="22" t="str"/>
      <x:c r="X7" s="26"/>
      <x:c r="Y7" s="26"/>
      <x:c r="Z7" s="26"/>
      <x:c r="AA7" s="22" t="str"/>
      <x:c r="AB7" s="22" t="str"/>
    </x:row>
    <x:row r="8" ht="260" customHeight="1">
      <x:c r="A8" s="23" t="str">
        <x:v>☐</x:v>
      </x:c>
      <x:c r="B8" s="24" t="n">
        <x:v>46281</x:v>
      </x:c>
      <x:c r="C8" s="25" t="n">
        <x:v>0.7916666666666666</x:v>
      </x:c>
      <x:c r="D8" s="15" t="str">
        <x:v>S03</x:v>
      </x:c>
      <x:c r="E8" s="15" t="str">
        <x:v>Core</x:v>
      </x:c>
      <x:c r="F8" s="22" t="str">
        <x:v>Draft</x:v>
      </x:c>
      <x:c r="G8" s="22" t="str"/>
      <x:c r="H8" s="15" t="str">
        <x:v>Before booking, know what is included</x:v>
      </x:c>
      <x:c r="I8" s="15" t="str">
        <x:v>Before booking, know what is included.
• What does the package cover?
• Check pages, content and revisions
• Check hosting and ongoing support
• Confirm exclusions and payment terms
Digital Launchpad: ₹32,000 + GST. Bookings 14–25 September 2026. Review the written scope and terms.
Save this for your next website conversation. Ask for the package scope through the link in our bio.</x:v>
      </x:c>
      <x:c r="J8" s="15" t="str">
        <x:v>#BusinessWebsite #NagpurBusiness #eLanTechnology</x:v>
      </x:c>
      <x:c r="K8" s="15" t="str">
        <x:v>Link in bio or relevant DM reply</x:v>
      </x:c>
      <x:c r="L8" s="15" t="str">
        <x:v>https://elan-tech.net/pricing/digital-launchpad/?utm_source=instagram&amp;utm_medium=social&amp;utm_campaign=q4_2026_launchpad&amp;utm_content=s03</x:v>
      </x:c>
      <x:c r="M8" s="15" t="str">
        <x:v>Feed carousel</x:v>
      </x:c>
      <x:c r="N8" s="15" t="str">
        <x:v>COVER: Before booking, know what is included
SLIDE 2: What does the package cover?
SLIDE 3: Check pages, content and revisions
SLIDE 4: Check hosting and ongoing support
SLIDE 5: Confirm exclusions and payment terms
SLIDE 6: Digital Launchpad: ₹32,000 + GST, until 25 September
CLOSING: Ask for the package scope</x:v>
      </x:c>
      <x:c r="O8" s="15" t="str">
        <x:v>Five-slide checklist. Each slide asks one scope question. Use outlined page, pencil, server and document symbols. Do not portray a question as an included feature. Keep headline, logo and captions away from interface overlays.</x:v>
      </x:c>
      <x:c r="P8" s="15" t="str">
        <x:v>1080 × 1350 px</x:v>
      </x:c>
      <x:c r="Q8" s="15" t="str">
        <x:v>Before booking, know what is included. What does the package cover?. Check pages, content and revisions. Check hosting and ongoing support. Digital Launchpad costs ₹32,000 plus GST, with bookings from 14 to 25 September 2026. Original illustrative graphic by eLan Technology.</x:v>
      </x:c>
      <x:c r="R8" s="15" t="str">
        <x:v>Written scope must be approved; do not insert unconfirmed inclusions No client assets or testimonials. No paid promotion. Test the destination and mobile contact journey. Update and test the profile link before using the caption CTA.</x:v>
      </x:c>
      <x:c r="S8" s="23" t="str">
        <x:v>☐</x:v>
      </x:c>
      <x:c r="T8" s="23" t="str">
        <x:v>☐</x:v>
      </x:c>
      <x:c r="U8" s="23" t="str">
        <x:v>☐</x:v>
      </x:c>
      <x:c r="V8" s="24"/>
      <x:c r="W8" s="22" t="str"/>
      <x:c r="X8" s="26"/>
      <x:c r="Y8" s="26"/>
      <x:c r="Z8" s="26"/>
      <x:c r="AA8" s="22" t="str"/>
      <x:c r="AB8" s="22" t="str"/>
    </x:row>
    <x:row r="9" ht="260" customHeight="1">
      <x:c r="A9" s="23" t="str">
        <x:v>☐</x:v>
      </x:c>
      <x:c r="B9" s="24" t="n">
        <x:v>46283</x:v>
      </x:c>
      <x:c r="C9" s="25" t="n">
        <x:v>0.7916666666666666</x:v>
      </x:c>
      <x:c r="D9" s="3" t="str">
        <x:v>S04</x:v>
      </x:c>
      <x:c r="E9" s="3" t="str">
        <x:v>Core</x:v>
      </x:c>
      <x:c r="F9" s="22" t="str">
        <x:v>Draft</x:v>
      </x:c>
      <x:c r="G9" s="22" t="str"/>
      <x:c r="H9" s="3" t="str">
        <x:v>Make it easy for visitors to enquire</x:v>
      </x:c>
      <x:c r="I9" s="3" t="str">
        <x:v>Make it easy for visitors to enquire.
• Can visitors understand your service?
• Can they find contact options on mobile?
• Does the enquiry reach your inbox?
• Demonstration, not a client website
Digital Launchpad: ₹32,000 + GST. Bookings 14–25 September 2026. Review the written scope and terms.
Save this for your next website conversation. Request the offer details through the link in our bio.</x:v>
      </x:c>
      <x:c r="J9" s="3" t="str">
        <x:v>#BusinessWebsite #NagpurBusiness #eLanTechnology</x:v>
      </x:c>
      <x:c r="K9" s="3" t="str">
        <x:v>Link in bio or relevant DM reply</x:v>
      </x:c>
      <x:c r="L9" s="3" t="str">
        <x:v>https://elan-tech.net/pricing/digital-launchpad/?utm_source=instagram&amp;utm_medium=social&amp;utm_campaign=q4_2026_launchpad&amp;utm_content=s04</x:v>
      </x:c>
      <x:c r="M9" s="3" t="str">
        <x:v>Captioned Reel</x:v>
      </x:c>
      <x:c r="N9" s="3" t="str">
        <x:v>COVER: Make it easy for visitors to enquire
SLIDE 2: Can visitors understand your service?
SLIDE 3: Can they find contact options on mobile?
SLIDE 4: Does the enquiry reach your inbox?
SLIDE 5: Demonstration, not a client website
SLIDE 6: Ask about Launchpad: ₹32,000 + GST
CLOSING: Request the offer details</x:v>
      </x:c>
      <x:c r="O9" s="3" t="str">
        <x:v>25-second screen recording of an original sample site. Show service, contact route and a sandbox form confirmation. Persistent Demonstration label. Never show a real lead or inbox. Keep headline, logo and captions away from interface overlays.</x:v>
      </x:c>
      <x:c r="P9" s="3" t="str">
        <x:v>1080 × 1920 px</x:v>
      </x:c>
      <x:c r="Q9" s="3" t="str">
        <x:v>Make it easy for visitors to enquire. Can visitors understand your service?. Can they find contact options on mobile?. Does the enquiry reach your inbox?. Digital Launchpad costs ₹32,000 plus GST, with bookings from 14 to 25 September 2026. Original illustrative graphic by eLan Technology.</x:v>
      </x:c>
      <x:c r="R9" s="3" t="str">
        <x:v>Test the demo; approve offer scope; no claim of guaranteed enquiries No client assets or testimonials. No paid promotion. Test the destination and mobile contact journey. Update and test the profile link before using the caption CTA.</x:v>
      </x:c>
      <x:c r="S9" s="23" t="str">
        <x:v>☐</x:v>
      </x:c>
      <x:c r="T9" s="23" t="str">
        <x:v>☐</x:v>
      </x:c>
      <x:c r="U9" s="23" t="str">
        <x:v>☐</x:v>
      </x:c>
      <x:c r="V9" s="24"/>
      <x:c r="W9" s="22" t="str"/>
      <x:c r="X9" s="26"/>
      <x:c r="Y9" s="26"/>
      <x:c r="Z9" s="26"/>
      <x:c r="AA9" s="22" t="str"/>
      <x:c r="AB9" s="22" t="str"/>
    </x:row>
    <x:row r="10" ht="260" customHeight="1">
      <x:c r="A10" s="23" t="str">
        <x:v>☐</x:v>
      </x:c>
      <x:c r="B10" s="24" t="n">
        <x:v>46286</x:v>
      </x:c>
      <x:c r="C10" s="25" t="n">
        <x:v>0.7916666666666666</x:v>
      </x:c>
      <x:c r="D10" s="15" t="str">
        <x:v>S05</x:v>
      </x:c>
      <x:c r="E10" s="15" t="str">
        <x:v>Core</x:v>
      </x:c>
      <x:c r="F10" s="22" t="str">
        <x:v>Draft</x:v>
      </x:c>
      <x:c r="G10" s="22" t="str"/>
      <x:c r="H10" s="15" t="str">
        <x:v>Five questions before you book a website</x:v>
      </x:c>
      <x:c r="I10" s="15" t="str">
        <x:v>Five questions before you book a website.
• Who provides the content?
• How many revisions are agreed?
• Which costs renew?
• What is handed over?
Digital Launchpad: ₹32,000 + GST. Bookings 14–25 September 2026. Review the written scope and terms.
Save this for your next website conversation. Discuss your website requirements through the link in our bio.</x:v>
      </x:c>
      <x:c r="J10" s="15" t="str">
        <x:v>#BusinessWebsite #NagpurBusiness #eLanTechnology</x:v>
      </x:c>
      <x:c r="K10" s="15" t="str">
        <x:v>Link in bio or relevant DM reply</x:v>
      </x:c>
      <x:c r="L10" s="15" t="str">
        <x:v>https://elan-tech.net/pricing/digital-launchpad/?utm_source=instagram&amp;utm_medium=social&amp;utm_campaign=q4_2026_launchpad&amp;utm_content=s05</x:v>
      </x:c>
      <x:c r="M10" s="15" t="str">
        <x:v>Feed carousel</x:v>
      </x:c>
      <x:c r="N10" s="15" t="str">
        <x:v>COVER: Five questions before you book a website
SLIDE 2: Who provides the content?
SLIDE 3: How many revisions are agreed?
SLIDE 4: Which costs renew?
SLIDE 5: What is handed over?
SLIDE 6: What affects the delivery date?
CLOSING: Discuss your website requirements</x:v>
      </x:c>
      <x:c r="O10" s="15" t="str">
        <x:v>Five numbered rectangular question cards, with a sixth closing panel. Blue type on white, restrained orange number blocks. Put the offer only on the closing slide. Keep headline, logo and captions away from interface overlays.</x:v>
      </x:c>
      <x:c r="P10" s="15" t="str">
        <x:v>1080 × 1350 px</x:v>
      </x:c>
      <x:c r="Q10" s="15" t="str">
        <x:v>Five questions before you book a website. Who provides the content?. How many revisions are agreed?. Which costs renew?. Digital Launchpad costs ₹32,000 plus GST, with bookings from 14 to 25 September 2026. Original illustrative graphic by eLan Technology.</x:v>
      </x:c>
      <x:c r="R10" s="15" t="str">
        <x:v>Confirm contractual wording and offer scope No client assets or testimonials. No paid promotion. Test the destination and mobile contact journey. Update and test the profile link before using the caption CTA.</x:v>
      </x:c>
      <x:c r="S10" s="23" t="str">
        <x:v>☐</x:v>
      </x:c>
      <x:c r="T10" s="23" t="str">
        <x:v>☐</x:v>
      </x:c>
      <x:c r="U10" s="23" t="str">
        <x:v>☐</x:v>
      </x:c>
      <x:c r="V10" s="24"/>
      <x:c r="W10" s="22" t="str"/>
      <x:c r="X10" s="26"/>
      <x:c r="Y10" s="26"/>
      <x:c r="Z10" s="26"/>
      <x:c r="AA10" s="22" t="str"/>
      <x:c r="AB10" s="22" t="str"/>
    </x:row>
    <x:row r="11" ht="260" customHeight="1">
      <x:c r="A11" s="23" t="str">
        <x:v>☐</x:v>
      </x:c>
      <x:c r="B11" s="24" t="n">
        <x:v>46288</x:v>
      </x:c>
      <x:c r="C11" s="25" t="n">
        <x:v>0.7916666666666666</x:v>
      </x:c>
      <x:c r="D11" s="3" t="str">
        <x:v>S06</x:v>
      </x:c>
      <x:c r="E11" s="3" t="str">
        <x:v>Core</x:v>
      </x:c>
      <x:c r="F11" s="22" t="str">
        <x:v>Draft</x:v>
      </x:c>
      <x:c r="G11" s="22" t="str"/>
      <x:c r="H11" s="3" t="str">
        <x:v>Your Launchpad questions, answered</x:v>
      </x:c>
      <x:c r="I11" s="3" t="str">
        <x:v>Your Launchpad questions, answered.
• What should the website help people do?
• What content is ready?
• What support will you need?
• Check the written scope
Digital Launchpad: ₹32,000 + GST. Bookings 14–25 September 2026. Review the written scope and terms.
Save this for your next website conversation. Ask about the offer through the link in our bio.</x:v>
      </x:c>
      <x:c r="J11" s="3" t="str">
        <x:v>#BusinessWebsite #NagpurBusiness #eLanTechnology</x:v>
      </x:c>
      <x:c r="K11" s="3" t="str">
        <x:v>Link in bio or relevant DM reply</x:v>
      </x:c>
      <x:c r="L11" s="3" t="str">
        <x:v>https://elan-tech.net/pricing/digital-launchpad/?utm_source=instagram&amp;utm_medium=social&amp;utm_campaign=q4_2026_launchpad&amp;utm_content=s06</x:v>
      </x:c>
      <x:c r="M11" s="3" t="str">
        <x:v>Captioned Reel</x:v>
      </x:c>
      <x:c r="N11" s="3" t="str">
        <x:v>COVER: Your Launchpad questions, answered
SLIDE 2: What should the website help people do?
SLIDE 3: What content is ready?
SLIDE 4: What support will you need?
SLIDE 5: Check the written scope
SLIDE 6: ₹32,000 + GST; bookings close 25 September
CLOSING: Ask about the offer</x:v>
      </x:c>
      <x:c r="O11" s="3" t="str">
        <x:v>Founder video, 25–35 seconds, bright uncluttered setting. Add three question captions and a final date/price card. Say Common questions, not You asked, unless questions were received. Keep headline, logo and captions away from interface overlays.</x:v>
      </x:c>
      <x:c r="P11" s="3" t="str">
        <x:v>1080 × 1920 px</x:v>
      </x:c>
      <x:c r="Q11" s="3" t="str">
        <x:v>Your Launchpad questions, answered. What should the website help people do?. What content is ready?. What support will you need?. Digital Launchpad costs ₹32,000 plus GST, with bookings from 14 to 25 September 2026. Original illustrative graphic by eLan Technology.</x:v>
      </x:c>
      <x:c r="R11" s="3" t="str">
        <x:v>Approve answers against actual package terms No client assets or testimonials. No paid promotion. Test the destination and mobile contact journey. Update and test the profile link before using the caption CTA.</x:v>
      </x:c>
      <x:c r="S11" s="23" t="str">
        <x:v>☐</x:v>
      </x:c>
      <x:c r="T11" s="23" t="str">
        <x:v>☐</x:v>
      </x:c>
      <x:c r="U11" s="23" t="str">
        <x:v>☐</x:v>
      </x:c>
      <x:c r="V11" s="24"/>
      <x:c r="W11" s="22" t="str"/>
      <x:c r="X11" s="26"/>
      <x:c r="Y11" s="26"/>
      <x:c r="Z11" s="26"/>
      <x:c r="AA11" s="22" t="str"/>
      <x:c r="AB11" s="22" t="str"/>
    </x:row>
    <x:row r="12" ht="260" customHeight="1">
      <x:c r="A12" s="23" t="str">
        <x:v>☐</x:v>
      </x:c>
      <x:c r="B12" s="24" t="n">
        <x:v>46290</x:v>
      </x:c>
      <x:c r="C12" s="25" t="n">
        <x:v>0.7916666666666666</x:v>
      </x:c>
      <x:c r="D12" s="15" t="str">
        <x:v>S07</x:v>
      </x:c>
      <x:c r="E12" s="15" t="str">
        <x:v>Core</x:v>
      </x:c>
      <x:c r="F12" s="22" t="str">
        <x:v>Draft</x:v>
      </x:c>
      <x:c r="G12" s="22" t="str"/>
      <x:c r="H12" s="15" t="str">
        <x:v>Last day for Digital Launchpad bookings</x:v>
      </x:c>
      <x:c r="I12" s="15" t="str">
        <x:v>Last day for Digital Launchpad bookings.
• Bookings close today
• 25 September 2026
• ₹32,000 + GST
• Review scope and booking terms
Digital Launchpad: ₹32,000 + GST. Bookings 14–25 September 2026. Review the written scope and terms.
Save this for your next website conversation. Request the offer details today through the link in our bio.</x:v>
      </x:c>
      <x:c r="J12" s="15" t="str">
        <x:v>#BusinessWebsite #NagpurBusiness #eLanTechnology</x:v>
      </x:c>
      <x:c r="K12" s="15" t="str">
        <x:v>Link in bio or relevant DM reply</x:v>
      </x:c>
      <x:c r="L12" s="15" t="str">
        <x:v>https://elan-tech.net/pricing/digital-launchpad/?utm_source=instagram&amp;utm_medium=social&amp;utm_campaign=q4_2026_launchpad&amp;utm_content=s07</x:v>
      </x:c>
      <x:c r="M12" s="15" t="str">
        <x:v>Feed carousel</x:v>
      </x:c>
      <x:c r="N12" s="15" t="str">
        <x:v>COVER: Last day for Digital Launchpad bookings
SLIDE 2: Bookings close today
SLIDE 3: 25 September 2026
SLIDE 4: ₹32,000 + GST
SLIDE 5: Review scope and booking terms
SLIDE 6: Request the details today
CLOSING: Request the offer details today</x:v>
      </x:c>
      <x:c r="O12" s="15" t="str">
        <x:v>One bold closing-date graphic. White, blue and orange. No countdown counter, remaining-slot claim or invented cutoff time. Create an expired version for the landing page after closure. Keep headline, logo and captions away from interface overlays.</x:v>
      </x:c>
      <x:c r="P12" s="15" t="str">
        <x:v>1080 × 1350 px</x:v>
      </x:c>
      <x:c r="Q12" s="15" t="str">
        <x:v>Last day for Digital Launchpad bookings. Bookings close today. 25 September 2026. ₹32,000 + GST. Digital Launchpad costs ₹32,000 plus GST, with bookings from 14 to 25 September 2026. Original illustrative graphic by eLan Technology.</x:v>
      </x:c>
      <x:c r="R12" s="15" t="str">
        <x:v>Confirm closing time and booking conditions; remove active promotion after expiry No client assets or testimonials. No paid promotion. Test the destination and mobile contact journey. Update and test the profile link before using the caption CTA.</x:v>
      </x:c>
      <x:c r="S12" s="23" t="str">
        <x:v>☐</x:v>
      </x:c>
      <x:c r="T12" s="23" t="str">
        <x:v>☐</x:v>
      </x:c>
      <x:c r="U12" s="23" t="str">
        <x:v>☐</x:v>
      </x:c>
      <x:c r="V12" s="24"/>
      <x:c r="W12" s="22" t="str"/>
      <x:c r="X12" s="26"/>
      <x:c r="Y12" s="26"/>
      <x:c r="Z12" s="26"/>
      <x:c r="AA12" s="22" t="str"/>
      <x:c r="AB12" s="22" t="str"/>
    </x:row>
    <x:row r="13" ht="260" customHeight="1">
      <x:c r="A13" s="23" t="str">
        <x:v>☐</x:v>
      </x:c>
      <x:c r="B13" s="24" t="n">
        <x:v>46294</x:v>
      </x:c>
      <x:c r="C13" s="25" t="n">
        <x:v>0.7916666666666666</x:v>
      </x:c>
      <x:c r="D13" s="3" t="str">
        <x:v>S08</x:v>
      </x:c>
      <x:c r="E13" s="3" t="str">
        <x:v>Core</x:v>
      </x:c>
      <x:c r="F13" s="22" t="str">
        <x:v>Draft</x:v>
      </x:c>
      <x:c r="G13" s="22" t="str"/>
      <x:c r="H13" s="3" t="str">
        <x:v>A Shopify store should feel like your business</x:v>
      </x:c>
      <x:c r="I13" s="3" t="str">
        <x:v>A Shopify store should feel like your business.
• Start with the shopping journey
• Organise products clearly
• Answer questions on product pages
• Check navigation on a phone
Save this for your next website conversation. Request a Shopify quote through the link in our bio.</x:v>
      </x:c>
      <x:c r="J13" s="3" t="str">
        <x:v>#Shopify #eCommerce #WebDesign</x:v>
      </x:c>
      <x:c r="K13" s="3" t="str">
        <x:v>Link in bio or relevant DM reply</x:v>
      </x:c>
      <x:c r="L13" s="3" t="str">
        <x:v>https://elan-tech.net/services/ecommerce/shopify-development/?utm_source=instagram&amp;utm_medium=social&amp;utm_campaign=q4_2026_shopify&amp;utm_content=s08</x:v>
      </x:c>
      <x:c r="M13" s="3" t="str">
        <x:v>Feed carousel</x:v>
      </x:c>
      <x:c r="N13" s="3" t="str">
        <x:v>COVER: A Shopify store should feel like your business
SLIDE 2: Start with the shopping journey
SLIDE 3: Organise products clearly
SLIDE 4: Answer questions on product pages
SLIDE 5: Check navigation on a phone
SLIDE 6: Plan a custom Shopify storefront
CLOSING: Request a Shopify quote</x:v>
      </x:c>
      <x:c r="O13" s="3" t="str">
        <x:v>Five-slide original shop wireframe using neutral sample products. Green accent, cream background. Zoom into collection, product details and mobile menu. Label all screens Demonstration. Keep headline, logo and captions away from interface overlays.</x:v>
      </x:c>
      <x:c r="P13" s="3" t="str">
        <x:v>1080 × 1350 px</x:v>
      </x:c>
      <x:c r="Q13" s="3" t="str">
        <x:v>A Shopify store should feel like your business. Start with the shopping journey. Organise products clearly. Answer questions on product pages. Original illustrative graphic by eLan Technology.</x:v>
      </x:c>
      <x:c r="R13" s="3" t="str">
        <x:v>Standard approval No client assets or testimonials. No paid promotion. Test the destination and mobile contact journey. Update and test the profile link before using the caption CTA.</x:v>
      </x:c>
      <x:c r="S13" s="23" t="str">
        <x:v>☐</x:v>
      </x:c>
      <x:c r="T13" s="23" t="str">
        <x:v>☐</x:v>
      </x:c>
      <x:c r="U13" s="23" t="str">
        <x:v>☐</x:v>
      </x:c>
      <x:c r="V13" s="24"/>
      <x:c r="W13" s="22" t="str"/>
      <x:c r="X13" s="26"/>
      <x:c r="Y13" s="26"/>
      <x:c r="Z13" s="26"/>
      <x:c r="AA13" s="22" t="str"/>
      <x:c r="AB13" s="22" t="str"/>
    </x:row>
    <x:row r="14" ht="260" customHeight="1">
      <x:c r="A14" s="23" t="str">
        <x:v>☐</x:v>
      </x:c>
      <x:c r="B14" s="24" t="n">
        <x:v>46297</x:v>
      </x:c>
      <x:c r="C14" s="25" t="n">
        <x:v>0.7916666666666666</x:v>
      </x:c>
      <x:c r="D14" s="15" t="str">
        <x:v>O01</x:v>
      </x:c>
      <x:c r="E14" s="15" t="str">
        <x:v>Conditional</x:v>
      </x:c>
      <x:c r="F14" s="22" t="str">
        <x:v>Hold</x:v>
      </x:c>
      <x:c r="G14" s="22" t="str"/>
      <x:c r="H14" s="15" t="str">
        <x:v>One link for your business details</x:v>
      </x:c>
      <x:c r="I14" s="15" t="str">
        <x:v>One link for your business details.
• A digital business card is in preparation
• Preview only
• Final features and plans will follow
• Subscription prices + GST
Digital-card subscription prices are + GST. DM CARD to discuss the options or request an update.</x:v>
      </x:c>
      <x:c r="J14" s="15" t="str">
        <x:v>#DigitalBusinessCard #BusinessNetworking #eLanTechnology</x:v>
      </x:c>
      <x:c r="K14" s="15" t="str">
        <x:v>Link in bio or relevant DM reply</x:v>
      </x:c>
      <x:c r="L14" s="15" t="str">
        <x:v>https://elan-tech.net/contact/?utm_source=instagram&amp;utm_medium=social&amp;utm_campaign=q4_2026_digital_card&amp;utm_content=o01</x:v>
      </x:c>
      <x:c r="M14" s="15" t="str">
        <x:v>Captioned Reel</x:v>
      </x:c>
      <x:c r="N14" s="15" t="str">
        <x:v>COVER: One link for your business details
SLIDE 2: A digital business card is in preparation
SLIDE 3: Preview only
SLIDE 4: Final features and plans will follow
SLIDE 5: Subscription prices + GST
SLIDE 6: Reply CARD to express interest
CLOSING: Express interest in the digital card</x:v>
      </x:c>
      <x:c r="O14" s="15" t="str">
        <x:v>15-second actual preview recording with fictional sample data. Show only a tested profile and working sharing action. Preview label throughout. Do not publish an unverified domain. Keep headline, logo and captions away from interface overlays.</x:v>
      </x:c>
      <x:c r="P14" s="15" t="str">
        <x:v>1080 × 1920 px</x:v>
      </x:c>
      <x:c r="Q14" s="15" t="str">
        <x:v>One link for your business details. A digital business card is in preparation. Preview only. Final features and plans will follow. Original illustrative graphic by eLan Technology.</x:v>
      </x:c>
      <x:c r="R14" s="15" t="str">
        <x:v>Confirm working preview and approved brand/domain; not a public launch No client assets or testimonials. No paid promotion. Test the destination and mobile contact journey. Update and test the profile link before using the caption CTA.</x:v>
      </x:c>
      <x:c r="S14" s="23" t="str">
        <x:v>☐</x:v>
      </x:c>
      <x:c r="T14" s="23" t="str">
        <x:v>☐</x:v>
      </x:c>
      <x:c r="U14" s="23" t="str">
        <x:v>☐</x:v>
      </x:c>
      <x:c r="V14" s="24"/>
      <x:c r="W14" s="22" t="str"/>
      <x:c r="X14" s="26"/>
      <x:c r="Y14" s="26"/>
      <x:c r="Z14" s="26"/>
      <x:c r="AA14" s="22" t="str"/>
      <x:c r="AB14"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15" ht="260" customHeight="1">
      <x:c r="A15" s="23" t="str">
        <x:v>☐</x:v>
      </x:c>
      <x:c r="B15" s="24" t="n">
        <x:v>46301</x:v>
      </x:c>
      <x:c r="C15" s="25" t="n">
        <x:v>0.7916666666666666</x:v>
      </x:c>
      <x:c r="D15" s="3" t="str">
        <x:v>O02</x:v>
      </x:c>
      <x:c r="E15" s="3" t="str">
        <x:v>Core</x:v>
      </x:c>
      <x:c r="F15" s="22" t="str">
        <x:v>Draft</x:v>
      </x:c>
      <x:c r="G15" s="22" t="str"/>
      <x:c r="H15" s="3" t="str">
        <x:v>Connect the store to the work behind it</x:v>
      </x:c>
      <x:c r="I15" s="3" t="str">
        <x:v>Connect the store to the work behind it.
• Customer places an order
• Payment status is checked
• Subscription rules apply where needed
• Shipping receives the next action
Save this for your next website conversation. Discuss custom commerce through the link in our bio.</x:v>
      </x:c>
      <x:c r="J15" s="3" t="str">
        <x:v>#eCommerce #CustomDevelopment #OnlineStore</x:v>
      </x:c>
      <x:c r="K15" s="3" t="str">
        <x:v>Link in bio or relevant DM reply</x:v>
      </x:c>
      <x:c r="L15" s="3" t="str">
        <x:v>https://elan-tech.net/services/ecommerce/?utm_source=instagram&amp;utm_medium=social&amp;utm_campaign=q4_2026_commerce&amp;utm_content=o02</x:v>
      </x:c>
      <x:c r="M15" s="3" t="str">
        <x:v>Feed carousel</x:v>
      </x:c>
      <x:c r="N15" s="3" t="str">
        <x:v>COVER: Connect the store to the work behind it
SLIDE 2: Customer places an order
SLIDE 3: Payment status is checked
SLIDE 4: Subscription rules apply where needed
SLIDE 5: Shipping receives the next action
SLIDE 6: Plan the workflow before the build
CLOSING: Discuss custom commerce</x:v>
      </x:c>
      <x:c r="O15" s="3" t="str">
        <x:v>Four-part original flow diagram with labelled arrows and one exception branch for payment failure. Indigo and teal accents. No client screens, order values or provider endorsement. Keep headline, logo and captions away from interface overlays.</x:v>
      </x:c>
      <x:c r="P15" s="3" t="str">
        <x:v>1080 × 1350 px</x:v>
      </x:c>
      <x:c r="Q15" s="3" t="str">
        <x:v>Connect the store to the work behind it. Customer places an order. Payment status is checked. Subscription rules apply where needed. Original illustrative graphic by eLan Technology.</x:v>
      </x:c>
      <x:c r="R15" s="3" t="str">
        <x:v>Standard approval No client assets or testimonials. No paid promotion. Test the destination and mobile contact journey. Update and test the profile link before using the caption CTA.</x:v>
      </x:c>
      <x:c r="S15" s="23" t="str">
        <x:v>☐</x:v>
      </x:c>
      <x:c r="T15" s="23" t="str">
        <x:v>☐</x:v>
      </x:c>
      <x:c r="U15" s="23" t="str">
        <x:v>☐</x:v>
      </x:c>
      <x:c r="V15" s="24"/>
      <x:c r="W15" s="22" t="str"/>
      <x:c r="X15" s="26"/>
      <x:c r="Y15" s="26"/>
      <x:c r="Z15" s="26"/>
      <x:c r="AA15" s="22" t="str"/>
      <x:c r="AB15" s="22" t="str"/>
    </x:row>
    <x:row r="16" ht="260" customHeight="1">
      <x:c r="A16" s="23" t="str">
        <x:v>☐</x:v>
      </x:c>
      <x:c r="B16" s="24" t="n">
        <x:v>46304</x:v>
      </x:c>
      <x:c r="C16" s="25" t="n">
        <x:v>0.7916666666666666</x:v>
      </x:c>
      <x:c r="D16" s="15" t="str">
        <x:v>O03</x:v>
      </x:c>
      <x:c r="E16" s="15" t="str">
        <x:v>Core</x:v>
      </x:c>
      <x:c r="F16" s="22" t="str">
        <x:v>Draft</x:v>
      </x:c>
      <x:c r="G16" s="22" t="str"/>
      <x:c r="H16" s="15" t="str">
        <x:v>Can your website be used without a mouse?</x:v>
      </x:c>
      <x:c r="I16" s="15" t="str">
        <x:v>Can your website be used without a mouse?.
• Put the mouse aside
• Use Tab to move through the page
• Look for visible focus
• Try the menu and form
Save this for your next website conversation. Request an accessibility assessment through the link in our bio.</x:v>
      </x:c>
      <x:c r="J16" s="15" t="str">
        <x:v>#WebAccessibility #InclusiveDesign #WCAG</x:v>
      </x:c>
      <x:c r="K16" s="15" t="str">
        <x:v>Link in bio or relevant DM reply</x:v>
      </x:c>
      <x:c r="L16" s="15" t="str">
        <x:v>https://elan-tech.net/services/ada-compliant-web-design/?utm_source=instagram&amp;utm_medium=social&amp;utm_campaign=q4_2026_accessibility&amp;utm_content=o03</x:v>
      </x:c>
      <x:c r="M16" s="15" t="str">
        <x:v>Captioned Reel</x:v>
      </x:c>
      <x:c r="N16" s="15" t="str">
        <x:v>COVER: Can your website be used without a mouse?
SLIDE 2: Put the mouse aside
SLIDE 3: Use Tab to move through the page
SLIDE 4: Look for visible focus
SLIDE 5: Try the menu and form
SLIDE 6: A starting check, not certification
CLOSING: Request an accessibility assessment</x:v>
      </x:c>
      <x:c r="O16" s="15" t="str">
        <x:v>25-second original demo. Show a clear focus outline moving through a menu and form. Add keypress captions. Teal on white, no fear imagery or lawsuit figures. Keep headline, logo and captions away from interface overlays.</x:v>
      </x:c>
      <x:c r="P16" s="15" t="str">
        <x:v>1080 × 1920 px</x:v>
      </x:c>
      <x:c r="Q16" s="15" t="str">
        <x:v>Can your website be used without a mouse?. Put the mouse aside. Use Tab to move through the page. Look for visible focus. Original illustrative graphic by eLan Technology.</x:v>
      </x:c>
      <x:c r="R16" s="15" t="str">
        <x:v>Standard approval No client assets or testimonials. No paid promotion. Test the destination and mobile contact journey. Update and test the profile link before using the caption CTA.</x:v>
      </x:c>
      <x:c r="S16" s="23" t="str">
        <x:v>☐</x:v>
      </x:c>
      <x:c r="T16" s="23" t="str">
        <x:v>☐</x:v>
      </x:c>
      <x:c r="U16" s="23" t="str">
        <x:v>☐</x:v>
      </x:c>
      <x:c r="V16" s="24"/>
      <x:c r="W16" s="22" t="str"/>
      <x:c r="X16" s="26"/>
      <x:c r="Y16" s="26"/>
      <x:c r="Z16" s="26"/>
      <x:c r="AA16" s="22" t="str"/>
      <x:c r="AB16" s="22" t="str"/>
    </x:row>
    <x:row r="17" ht="260" customHeight="1">
      <x:c r="A17" s="23" t="str">
        <x:v>☐</x:v>
      </x:c>
      <x:c r="B17" s="24" t="n">
        <x:v>46308</x:v>
      </x:c>
      <x:c r="C17" s="25" t="n">
        <x:v>0.7916666666666666</x:v>
      </x:c>
      <x:c r="D17" s="3" t="str">
        <x:v>O04</x:v>
      </x:c>
      <x:c r="E17" s="3" t="str">
        <x:v>Conditional</x:v>
      </x:c>
      <x:c r="F17" s="22" t="str">
        <x:v>Hold</x:v>
      </x:c>
      <x:c r="G17" s="22" t="str"/>
      <x:c r="H17" s="3" t="str">
        <x:v>Help us test a simpler business introduction</x:v>
      </x:c>
      <x:c r="I17" s="3" t="str">
        <x:v>Help us test a simpler business introduction.
• Interested in a digital card pilot?
• Test the setup journey
• Check the profile details
• Try the sharing experience
Digital-card subscription prices are + GST. DM CARD to discuss the options or request an update.</x:v>
      </x:c>
      <x:c r="J17" s="3" t="str">
        <x:v>#DigitalBusinessCard #BusinessNetworking #eLanTechnology</x:v>
      </x:c>
      <x:c r="K17" s="3" t="str">
        <x:v>Link in bio or relevant DM reply</x:v>
      </x:c>
      <x:c r="L17" s="3" t="str">
        <x:v>https://elan-tech.net/contact/?utm_source=instagram&amp;utm_medium=social&amp;utm_campaign=q4_2026_digital_card&amp;utm_content=o04</x:v>
      </x:c>
      <x:c r="M17" s="3" t="str">
        <x:v>Captioned Reel</x:v>
      </x:c>
      <x:c r="N17" s="3" t="str">
        <x:v>COVER: Help us test a simpler business introduction
SLIDE 2: Interested in a digital card pilot?
SLIDE 3: Test the setup journey
SLIDE 4: Check the profile details
SLIDE 5: Try the sharing experience
SLIDE 6: Ask for the pilot terms
CLOSING: Ask about the pilot</x:v>
      </x:c>
      <x:c r="O17" s="3" t="str">
        <x:v>Three-screen walkthrough with fictional data. Show only working steps. Closing card invites interest, with no free-forever or guaranteed access claim. Keep headline, logo and captions away from interface overlays.</x:v>
      </x:c>
      <x:c r="P17" s="3" t="str">
        <x:v>1080 × 1920 px</x:v>
      </x:c>
      <x:c r="Q17" s="3" t="str">
        <x:v>Help us test a simpler business introduction. Interested in a digital card pilot?. Test the setup journey. Check the profile details. Original illustrative graphic by eLan Technology.</x:v>
      </x:c>
      <x:c r="R17" s="3" t="str">
        <x:v>Pilot must be approved, functional and have written terms before invitations No client assets or testimonials. No paid promotion. Test the destination and mobile contact journey. Update and test the profile link before using the caption CTA.</x:v>
      </x:c>
      <x:c r="S17" s="23" t="str">
        <x:v>☐</x:v>
      </x:c>
      <x:c r="T17" s="23" t="str">
        <x:v>☐</x:v>
      </x:c>
      <x:c r="U17" s="23" t="str">
        <x:v>☐</x:v>
      </x:c>
      <x:c r="V17" s="24"/>
      <x:c r="W17" s="22" t="str"/>
      <x:c r="X17" s="26"/>
      <x:c r="Y17" s="26"/>
      <x:c r="Z17" s="26"/>
      <x:c r="AA17" s="22" t="str"/>
      <x:c r="AB17"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18" ht="260" customHeight="1">
      <x:c r="A18" s="23" t="str">
        <x:v>☐</x:v>
      </x:c>
      <x:c r="B18" s="24" t="n">
        <x:v>46311</x:v>
      </x:c>
      <x:c r="C18" s="25" t="n">
        <x:v>0.7916666666666666</x:v>
      </x:c>
      <x:c r="D18" s="15" t="str">
        <x:v>O05</x:v>
      </x:c>
      <x:c r="E18" s="15" t="str">
        <x:v>Core</x:v>
      </x:c>
      <x:c r="F18" s="22" t="str">
        <x:v>Draft</x:v>
      </x:c>
      <x:c r="G18" s="22" t="str"/>
      <x:c r="H18" s="15" t="str">
        <x:v>What should a website quote explain?</x:v>
      </x:c>
      <x:c r="I18" s="15" t="str">
        <x:v>What should a website quote explain?.
• List the deliverables
• Agree who supplies content
• Clarify revisions and approvals
• Read ownership and support terms
Save this for your next website conversation. Request a scoped website quote through the link in our bio.</x:v>
      </x:c>
      <x:c r="J18" s="15" t="str">
        <x:v>#BusinessWebsite #WebDesign #eLanTechnology</x:v>
      </x:c>
      <x:c r="K18" s="15" t="str">
        <x:v>Link in bio or relevant DM reply</x:v>
      </x:c>
      <x:c r="L18" s="15" t="str">
        <x:v>https://elan-tech.net/contact/?utm_source=instagram&amp;utm_medium=social&amp;utm_campaign=q4_2026_websites&amp;utm_content=o05</x:v>
      </x:c>
      <x:c r="M18" s="15" t="str">
        <x:v>Feed carousel</x:v>
      </x:c>
      <x:c r="N18" s="15" t="str">
        <x:v>COVER: What should a website quote explain?
SLIDE 2: List the deliverables
SLIDE 3: Agree who supplies content
SLIDE 4: Clarify revisions and approvals
SLIDE 5: Read ownership and support terms
SLIDE 6: Check exclusions and payment stages
CLOSING: Request a scoped website quote</x:v>
      </x:c>
      <x:c r="O18" s="15" t="str">
        <x:v>Five clean document-style panels, orange highlights on key terms. No fake competitor quote or fabricated saving. Keep headline, logo and captions away from interface overlays.</x:v>
      </x:c>
      <x:c r="P18" s="15" t="str">
        <x:v>1080 × 1350 px</x:v>
      </x:c>
      <x:c r="Q18" s="15" t="str">
        <x:v>What should a website quote explain?. List the deliverables. Agree who supplies content. Clarify revisions and approvals. Original illustrative graphic by eLan Technology.</x:v>
      </x:c>
      <x:c r="R18" s="15" t="str">
        <x:v>Standard approval No client assets or testimonials. No paid promotion. Test the destination and mobile contact journey. Update and test the profile link before using the caption CTA.</x:v>
      </x:c>
      <x:c r="S18" s="23" t="str">
        <x:v>☐</x:v>
      </x:c>
      <x:c r="T18" s="23" t="str">
        <x:v>☐</x:v>
      </x:c>
      <x:c r="U18" s="23" t="str">
        <x:v>☐</x:v>
      </x:c>
      <x:c r="V18" s="24"/>
      <x:c r="W18" s="22" t="str"/>
      <x:c r="X18" s="26"/>
      <x:c r="Y18" s="26"/>
      <x:c r="Z18" s="26"/>
      <x:c r="AA18" s="22" t="str"/>
      <x:c r="AB18" s="22" t="str"/>
    </x:row>
    <x:row r="19" ht="260" customHeight="1">
      <x:c r="A19" s="23" t="str">
        <x:v>☐</x:v>
      </x:c>
      <x:c r="B19" s="24" t="n">
        <x:v>46315</x:v>
      </x:c>
      <x:c r="C19" s="25" t="n">
        <x:v>0.7916666666666666</x:v>
      </x:c>
      <x:c r="D19" s="3" t="str">
        <x:v>O06</x:v>
      </x:c>
      <x:c r="E19" s="3" t="str">
        <x:v>Core</x:v>
      </x:c>
      <x:c r="F19" s="22" t="str">
        <x:v>Draft</x:v>
      </x:c>
      <x:c r="G19" s="22" t="str"/>
      <x:c r="H19" s="3" t="str">
        <x:v>Shopify, WooCommerce or Medusa.js?</x:v>
      </x:c>
      <x:c r="I19" s="3" t="str">
        <x:v>Shopify, WooCommerce or Medusa.js?.
• Shopify: managed commerce platform
• WooCommerce: commerce on WordPress
• Medusa.js: custom commerce development
• Compare integrations and ongoing work
Save this for your next website conversation. Discuss your eCommerce requirements through the link in our bio.</x:v>
      </x:c>
      <x:c r="J19" s="3" t="str">
        <x:v>#eCommerce #CustomDevelopment #OnlineStore</x:v>
      </x:c>
      <x:c r="K19" s="3" t="str">
        <x:v>Link in bio or relevant DM reply</x:v>
      </x:c>
      <x:c r="L19" s="3" t="str">
        <x:v>https://elan-tech.net/services/ecommerce/?utm_source=instagram&amp;utm_medium=social&amp;utm_campaign=q4_2026_commerce&amp;utm_content=o06</x:v>
      </x:c>
      <x:c r="M19" s="3" t="str">
        <x:v>Feed carousel</x:v>
      </x:c>
      <x:c r="N19" s="3" t="str">
        <x:v>COVER: Shopify, WooCommerce or Medusa.js?
SLIDE 2: Shopify: managed commerce platform
SLIDE 3: WooCommerce: commerce on WordPress
SLIDE 4: Medusa.js: custom commerce development
SLIDE 5: Compare integrations and ongoing work
SLIDE 6: Choose around your requirements
CLOSING: Discuss your eCommerce requirements</x:v>
      </x:c>
      <x:c r="O19" s="3" t="str">
        <x:v>Three equal rectangular cards in green, purple and indigo. No winner badge. Final comparison slide lists operations, integrations and maintenance. Keep names as text unless approved logos are available. Keep headline, logo and captions away from interface overlays.</x:v>
      </x:c>
      <x:c r="P19" s="3" t="str">
        <x:v>1080 × 1350 px</x:v>
      </x:c>
      <x:c r="Q19" s="3" t="str">
        <x:v>Shopify, WooCommerce or Medusa.js?. Shopify: managed commerce platform. WooCommerce: commerce on WordPress. Medusa.js: custom commerce development. Original illustrative graphic by eLan Technology.</x:v>
      </x:c>
      <x:c r="R19" s="3" t="str">
        <x:v>Standard approval No client assets or testimonials. No paid promotion. Test the destination and mobile contact journey. Update and test the profile link before using the caption CTA.</x:v>
      </x:c>
      <x:c r="S19" s="23" t="str">
        <x:v>☐</x:v>
      </x:c>
      <x:c r="T19" s="23" t="str">
        <x:v>☐</x:v>
      </x:c>
      <x:c r="U19" s="23" t="str">
        <x:v>☐</x:v>
      </x:c>
      <x:c r="V19" s="24"/>
      <x:c r="W19" s="22" t="str"/>
      <x:c r="X19" s="26"/>
      <x:c r="Y19" s="26"/>
      <x:c r="Z19" s="26"/>
      <x:c r="AA19" s="22" t="str"/>
      <x:c r="AB19" s="22" t="str"/>
    </x:row>
    <x:row r="20" ht="260" customHeight="1">
      <x:c r="A20" s="23" t="str">
        <x:v>☐</x:v>
      </x:c>
      <x:c r="B20" s="24" t="n">
        <x:v>46318</x:v>
      </x:c>
      <x:c r="C20" s="25" t="n">
        <x:v>0.7916666666666666</x:v>
      </x:c>
      <x:c r="D20" s="15" t="str">
        <x:v>O07</x:v>
      </x:c>
      <x:c r="E20" s="15" t="str">
        <x:v>Core</x:v>
      </x:c>
      <x:c r="F20" s="22" t="str">
        <x:v>Draft</x:v>
      </x:c>
      <x:c r="G20" s="22" t="str"/>
      <x:c r="H20" s="15" t="str">
        <x:v>A local business website starts with real questions</x:v>
      </x:c>
      <x:c r="I20" s="15" t="str">
        <x:v>A local business website starts with real questions.
• What do customers need to know?
• Explain services in everyday language
• State the real service area
• Make enquiry options clear
Save this for your next website conversation. Request a business website quote through the link in our bio.</x:v>
      </x:c>
      <x:c r="J20" s="15" t="str">
        <x:v>#BusinessWebsite #WebDesign #eLanTechnology</x:v>
      </x:c>
      <x:c r="K20" s="15" t="str">
        <x:v>Link in bio or relevant DM reply</x:v>
      </x:c>
      <x:c r="L20" s="15" t="str">
        <x:v>https://elan-tech.net/contact/?utm_source=instagram&amp;utm_medium=social&amp;utm_campaign=q4_2026_websites&amp;utm_content=o07</x:v>
      </x:c>
      <x:c r="M20" s="15" t="str">
        <x:v>Feed carousel</x:v>
      </x:c>
      <x:c r="N20" s="15" t="str">
        <x:v>COVER: A local business website starts with real questions
SLIDE 2: What do customers need to know?
SLIDE 3: Explain services in everyday language
SLIDE 4: State the real service area
SLIDE 5: Make enquiry options clear
SLIDE 6: Plan the mobile experience
CLOSING: Request a business website quote</x:v>
      </x:c>
      <x:c r="O20" s="15" t="str">
        <x:v>Original wireframe sequence: customer questions, service page, contact panel, phone view. Small Nagpur label, no fictional branch offices or client locations. Keep headline, logo and captions away from interface overlays.</x:v>
      </x:c>
      <x:c r="P20" s="15" t="str">
        <x:v>1080 × 1350 px</x:v>
      </x:c>
      <x:c r="Q20" s="15" t="str">
        <x:v>A local business website starts with real questions. What do customers need to know?. Explain services in everyday language. State the real service area. Original illustrative graphic by eLan Technology.</x:v>
      </x:c>
      <x:c r="R20" s="15" t="str">
        <x:v>Standard approval No client assets or testimonials. No paid promotion. Test the destination and mobile contact journey. Update and test the profile link before using the caption CTA.</x:v>
      </x:c>
      <x:c r="S20" s="23" t="str">
        <x:v>☐</x:v>
      </x:c>
      <x:c r="T20" s="23" t="str">
        <x:v>☐</x:v>
      </x:c>
      <x:c r="U20" s="23" t="str">
        <x:v>☐</x:v>
      </x:c>
      <x:c r="V20" s="24"/>
      <x:c r="W20" s="22" t="str"/>
      <x:c r="X20" s="26"/>
      <x:c r="Y20" s="26"/>
      <x:c r="Z20" s="26"/>
      <x:c r="AA20" s="22" t="str"/>
      <x:c r="AB20" s="22" t="str"/>
    </x:row>
    <x:row r="21" ht="260" customHeight="1">
      <x:c r="A21" s="23" t="str">
        <x:v>☐</x:v>
      </x:c>
      <x:c r="B21" s="24" t="n">
        <x:v>46322</x:v>
      </x:c>
      <x:c r="C21" s="25" t="n">
        <x:v>0.7916666666666666</x:v>
      </x:c>
      <x:c r="D21" s="3" t="str">
        <x:v>O08</x:v>
      </x:c>
      <x:c r="E21" s="3" t="str">
        <x:v>Core</x:v>
      </x:c>
      <x:c r="F21" s="22" t="str">
        <x:v>Draft</x:v>
      </x:c>
      <x:c r="G21" s="22" t="str"/>
      <x:c r="H21" s="3" t="str">
        <x:v>Four checkout checks before your next promotion</x:v>
      </x:c>
      <x:c r="I21" s="3" t="str">
        <x:v>Four checkout checks before your next promotion.
• Try the journey on mobile
• Check delivery-cost clarity
• Read form error messages
• Test the payment handoff safely
Save this for your next website conversation. Discuss store improvements through the link in our bio.</x:v>
      </x:c>
      <x:c r="J21" s="3" t="str">
        <x:v>#eCommerce #CustomDevelopment #OnlineStore</x:v>
      </x:c>
      <x:c r="K21" s="3" t="str">
        <x:v>Link in bio or relevant DM reply</x:v>
      </x:c>
      <x:c r="L21" s="3" t="str">
        <x:v>https://elan-tech.net/services/ecommerce/?utm_source=instagram&amp;utm_medium=social&amp;utm_campaign=q4_2026_commerce&amp;utm_content=o08</x:v>
      </x:c>
      <x:c r="M21" s="3" t="str">
        <x:v>Captioned Reel</x:v>
      </x:c>
      <x:c r="N21" s="3" t="str">
        <x:v>COVER: Four checkout checks before your next promotion
SLIDE 2: Try the journey on mobile
SLIDE 3: Check delivery-cost clarity
SLIDE 4: Read form error messages
SLIDE 5: Test the payment handoff safely
SLIDE 6: Fix issues before a promotion
CLOSING: Discuss store improvements</x:v>
      </x:c>
      <x:c r="O21" s="3" t="str">
        <x:v>30-second sandbox recording with four chapter cards. Show sample cart and error message without real customer details or payment credentials. Keep headline, logo and captions away from interface overlays.</x:v>
      </x:c>
      <x:c r="P21" s="3" t="str">
        <x:v>1080 × 1920 px</x:v>
      </x:c>
      <x:c r="Q21" s="3" t="str">
        <x:v>Four checkout checks before your next promotion. Try the journey on mobile. Check delivery-cost clarity. Read form error messages. Original illustrative graphic by eLan Technology.</x:v>
      </x:c>
      <x:c r="R21" s="3" t="str">
        <x:v>Standard approval No client assets or testimonials. No paid promotion. Test the destination and mobile contact journey. Update and test the profile link before using the caption CTA.</x:v>
      </x:c>
      <x:c r="S21" s="23" t="str">
        <x:v>☐</x:v>
      </x:c>
      <x:c r="T21" s="23" t="str">
        <x:v>☐</x:v>
      </x:c>
      <x:c r="U21" s="23" t="str">
        <x:v>☐</x:v>
      </x:c>
      <x:c r="V21" s="24"/>
      <x:c r="W21" s="22" t="str"/>
      <x:c r="X21" s="26"/>
      <x:c r="Y21" s="26"/>
      <x:c r="Z21" s="26"/>
      <x:c r="AA21" s="22" t="str"/>
      <x:c r="AB21" s="22" t="str"/>
    </x:row>
    <x:row r="22" ht="260" customHeight="1">
      <x:c r="A22" s="23" t="str">
        <x:v>☐</x:v>
      </x:c>
      <x:c r="B22" s="24" t="n">
        <x:v>46325</x:v>
      </x:c>
      <x:c r="C22" s="25" t="n">
        <x:v>0.7916666666666666</x:v>
      </x:c>
      <x:c r="D22" s="15" t="str">
        <x:v>O09</x:v>
      </x:c>
      <x:c r="E22" s="15" t="str">
        <x:v>Conditional</x:v>
      </x:c>
      <x:c r="F22" s="22" t="str">
        <x:v>Hold</x:v>
      </x:c>
      <x:c r="G22" s="22" t="str"/>
      <x:c r="H22" s="15" t="str">
        <x:v>What makes a digital card easy to use?</x:v>
      </x:c>
      <x:c r="I22" s="15" t="str">
        <x:v>What makes a digital card easy to use?.
• Readable on a phone
• Clear contact choices
• A practical sharing journey
• Product readiness comes first
Digital-card subscription prices are + GST. DM CARD to discuss the options or request an update.</x:v>
      </x:c>
      <x:c r="J22" s="15" t="str">
        <x:v>#DigitalBusinessCard #BusinessNetworking #eLanTechnology</x:v>
      </x:c>
      <x:c r="K22" s="15" t="str">
        <x:v>Link in bio or relevant DM reply</x:v>
      </x:c>
      <x:c r="L22" s="15" t="str">
        <x:v>https://elan-tech.net/contact/?utm_source=instagram&amp;utm_medium=social&amp;utm_campaign=q4_2026_digital_card&amp;utm_content=o09</x:v>
      </x:c>
      <x:c r="M22" s="15" t="str">
        <x:v>Feed carousel</x:v>
      </x:c>
      <x:c r="N22" s="15" t="str">
        <x:v>COVER: What makes a digital card easy to use?
SLIDE 2: Readable on a phone
SLIDE 3: Clear contact choices
SLIDE 4: A practical sharing journey
SLIDE 5: Product readiness comes first
SLIDE 6: Ask for a preview update
CLOSING: Request a preview update</x:v>
      </x:c>
      <x:c r="O22" s="15" t="str">
        <x:v>Three-panel internal-test checklist using a verified sample screen. Do not fabricate test scores, customer feedback or improvements not completed. Keep headline, logo and captions away from interface overlays.</x:v>
      </x:c>
      <x:c r="P22" s="15" t="str">
        <x:v>1080 × 1350 px</x:v>
      </x:c>
      <x:c r="Q22" s="15" t="str">
        <x:v>What makes a digital card easy to use?. Readable on a phone. Clear contact choices. A practical sharing journey. Original illustrative graphic by eLan Technology.</x:v>
      </x:c>
      <x:c r="R22" s="15" t="str">
        <x:v>Verify actual test status; do not imply a completed pilot or user results No client assets or testimonials. No paid promotion. Test the destination and mobile contact journey. Update and test the profile link before using the caption CTA.</x:v>
      </x:c>
      <x:c r="S22" s="23" t="str">
        <x:v>☐</x:v>
      </x:c>
      <x:c r="T22" s="23" t="str">
        <x:v>☐</x:v>
      </x:c>
      <x:c r="U22" s="23" t="str">
        <x:v>☐</x:v>
      </x:c>
      <x:c r="V22" s="24"/>
      <x:c r="W22" s="22" t="str"/>
      <x:c r="X22" s="26"/>
      <x:c r="Y22" s="26"/>
      <x:c r="Z22" s="26"/>
      <x:c r="AA22" s="22" t="str"/>
      <x:c r="AB22"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3" ht="260" customHeight="1">
      <x:c r="A23" s="23" t="str">
        <x:v>☐</x:v>
      </x:c>
      <x:c r="B23" s="24" t="n">
        <x:v>46329</x:v>
      </x:c>
      <x:c r="C23" s="25" t="n">
        <x:v>0.7916666666666666</x:v>
      </x:c>
      <x:c r="D23" s="3" t="str">
        <x:v>N01</x:v>
      </x:c>
      <x:c r="E23" s="3" t="str">
        <x:v>Core</x:v>
      </x:c>
      <x:c r="F23" s="22" t="str">
        <x:v>Draft</x:v>
      </x:c>
      <x:c r="G23" s="22" t="str"/>
      <x:c r="H23" s="3" t="str">
        <x:v>Accessibility audit and remediation are different</x:v>
      </x:c>
      <x:c r="I23" s="3" t="str">
        <x:v>Accessibility audit and remediation are different.
• Audit: identify barriers
• Prioritise the agreed findings
• Remediate: make the changes
• Retest: verify the work
Save this for your next website conversation. Request a scoped accessibility assessment through the link in our bio.</x:v>
      </x:c>
      <x:c r="J23" s="3" t="str">
        <x:v>#WebAccessibility #InclusiveDesign #WCAG</x:v>
      </x:c>
      <x:c r="K23" s="3" t="str">
        <x:v>Link in bio or relevant DM reply</x:v>
      </x:c>
      <x:c r="L23" s="3" t="str">
        <x:v>https://elan-tech.net/services/ada-compliant-web-design/?utm_source=instagram&amp;utm_medium=social&amp;utm_campaign=q4_2026_accessibility&amp;utm_content=n01</x:v>
      </x:c>
      <x:c r="M23" s="3" t="str">
        <x:v>Feed carousel</x:v>
      </x:c>
      <x:c r="N23" s="3" t="str">
        <x:v>COVER: Accessibility audit and remediation are different
SLIDE 2: Audit: identify barriers
SLIDE 3: Prioritise the agreed findings
SLIDE 4: Remediate: make the changes
SLIDE 5: Retest: verify the work
SLIDE 6: Agree scope and evidence
CLOSING: Request a scoped accessibility assessment</x:v>
      </x:c>
      <x:c r="O23" s="3" t="str">
        <x:v>Three-stage flow with an explicit retest loop. Teal accent, plain labels, no shield claiming legal protection. Keep headline, logo and captions away from interface overlays.</x:v>
      </x:c>
      <x:c r="P23" s="3" t="str">
        <x:v>1080 × 1350 px</x:v>
      </x:c>
      <x:c r="Q23" s="3" t="str">
        <x:v>Accessibility audit and remediation are different. Audit: identify barriers. Prioritise the agreed findings. Remediate: make the changes. Original illustrative graphic by eLan Technology.</x:v>
      </x:c>
      <x:c r="R23" s="3" t="str">
        <x:v>Standard approval No client assets or testimonials. No paid promotion. Test the destination and mobile contact journey. Update and test the profile link before using the caption CTA.</x:v>
      </x:c>
      <x:c r="S23" s="23" t="str">
        <x:v>☐</x:v>
      </x:c>
      <x:c r="T23" s="23" t="str">
        <x:v>☐</x:v>
      </x:c>
      <x:c r="U23" s="23" t="str">
        <x:v>☐</x:v>
      </x:c>
      <x:c r="V23" s="24"/>
      <x:c r="W23" s="22" t="str"/>
      <x:c r="X23" s="26"/>
      <x:c r="Y23" s="26"/>
      <x:c r="Z23" s="26"/>
      <x:c r="AA23" s="22" t="str"/>
      <x:c r="AB23" s="22" t="str"/>
    </x:row>
    <x:row r="24" ht="260" customHeight="1">
      <x:c r="A24" s="23" t="str">
        <x:v>☐</x:v>
      </x:c>
      <x:c r="B24" s="24" t="n">
        <x:v>46332</x:v>
      </x:c>
      <x:c r="C24" s="25" t="n">
        <x:v>0.7916666666666666</x:v>
      </x:c>
      <x:c r="D24" s="15" t="str">
        <x:v>N02</x:v>
      </x:c>
      <x:c r="E24" s="15" t="str">
        <x:v>Core</x:v>
      </x:c>
      <x:c r="F24" s="22" t="str">
        <x:v>Draft</x:v>
      </x:c>
      <x:c r="G24" s="22" t="str"/>
      <x:c r="H24" s="15" t="str">
        <x:v>Digital card or website: which do you need?</x:v>
      </x:c>
      <x:c r="I24" s="15" t="str">
        <x:v>Digital card or website: which do you need?.
• Digital card: a concise introduction
• Website: deeper information and journeys
• Some businesses need both
• Start with the customer task
Digital-card subscription prices are + GST. DM CARD to discuss the options or request an update.</x:v>
      </x:c>
      <x:c r="J24" s="15" t="str">
        <x:v>#DigitalBusinessCard #BusinessNetworking #eLanTechnology</x:v>
      </x:c>
      <x:c r="K24" s="15" t="str">
        <x:v>Link in bio or relevant DM reply</x:v>
      </x:c>
      <x:c r="L24" s="15" t="str">
        <x:v>https://elan-tech.net/contact/?utm_source=instagram&amp;utm_medium=social&amp;utm_campaign=q4_2026_digital_card&amp;utm_content=n02</x:v>
      </x:c>
      <x:c r="M24" s="15" t="str">
        <x:v>Feed carousel</x:v>
      </x:c>
      <x:c r="N24" s="15" t="str">
        <x:v>COVER: Digital card or website: which do you need?
SLIDE 2: Digital card: a concise introduction
SLIDE 3: Website: deeper information and journeys
SLIDE 4: Some businesses need both
SLIDE 5: Start with the customer task
SLIDE 6: Ask which option fits
CLOSING: Discuss the right option</x:v>
      </x:c>
      <x:c r="O24" s="15" t="str">
        <x:v>Split layout of a simple sample profile and an original website wireframe. Equal visual weight, no misleading winner. Illustrative screens labelled. Keep headline, logo and captions away from interface overlays.</x:v>
      </x:c>
      <x:c r="P24" s="15" t="str">
        <x:v>1080 × 1350 px</x:v>
      </x:c>
      <x:c r="Q24" s="15" t="str">
        <x:v>Digital card or website: which do you need?. Digital card: a concise introduction. Website: deeper information and journeys. Some businesses need both. Original illustrative graphic by eLan Technology.</x:v>
      </x:c>
      <x:c r="R24" s="15" t="str">
        <x:v>Standard approval No client assets or testimonials. No paid promotion. Test the destination and mobile contact journey. Update and test the profile link before using the caption CTA.</x:v>
      </x:c>
      <x:c r="S24" s="23" t="str">
        <x:v>☐</x:v>
      </x:c>
      <x:c r="T24" s="23" t="str">
        <x:v>☐</x:v>
      </x:c>
      <x:c r="U24" s="23" t="str">
        <x:v>☐</x:v>
      </x:c>
      <x:c r="V24" s="24"/>
      <x:c r="W24" s="22" t="str"/>
      <x:c r="X24" s="26"/>
      <x:c r="Y24" s="26"/>
      <x:c r="Z24" s="26"/>
      <x:c r="AA24" s="22" t="str"/>
      <x:c r="AB24"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5" ht="260" customHeight="1">
      <x:c r="A25" s="23" t="str">
        <x:v>☐</x:v>
      </x:c>
      <x:c r="B25" s="24" t="n">
        <x:v>46336</x:v>
      </x:c>
      <x:c r="C25" s="25" t="n">
        <x:v>0.7916666666666666</x:v>
      </x:c>
      <x:c r="D25" s="3" t="str">
        <x:v>N03</x:v>
      </x:c>
      <x:c r="E25" s="3" t="str">
        <x:v>Conditional</x:v>
      </x:c>
      <x:c r="F25" s="22" t="str">
        <x:v>Hold</x:v>
      </x:c>
      <x:c r="G25" s="22" t="str"/>
      <x:c r="H25" s="3" t="str">
        <x:v>Meet our digital business card</x:v>
      </x:c>
      <x:c r="I25" s="3" t="str">
        <x:v>Meet our digital business card.
• Meet the digital business card
• Explore the working demo
• Compare plan features and limits
• Subscription prices + GST
Digital-card subscription prices are + GST. DM CARD for the demo and approved plans.</x:v>
      </x:c>
      <x:c r="J25" s="3" t="str">
        <x:v>#DigitalBusinessCard #BusinessNetworking #eLanTechnology</x:v>
      </x:c>
      <x:c r="K25" s="3" t="str">
        <x:v>Link in bio or relevant DM reply</x:v>
      </x:c>
      <x:c r="L25" s="3" t="str"/>
      <x:c r="M25" s="3" t="str">
        <x:v>Captioned Reel</x:v>
      </x:c>
      <x:c r="N25" s="3" t="str">
        <x:v>COVER: Meet our digital business card
SLIDE 2: Meet the digital business card
SLIDE 3: Explore the working demo
SLIDE 4: Compare plan features and limits
SLIDE 5: Subscription prices + GST
SLIDE 6: Review terms before subscribing
CLOSING: View the demo and plans</x:v>
      </x:c>
      <x:c r="O25" s="3" t="str">
        <x:v>40-second real product demo after launch approval: 0–5s introduction, 5–20s profile and two verified actions, 20–30s plans, 30–40s terms and link. Use final branding only. Keep headline, logo and captions away from interface overlays.</x:v>
      </x:c>
      <x:c r="P25" s="3" t="str">
        <x:v>1080 × 1920 px</x:v>
      </x:c>
      <x:c r="Q25" s="3" t="str">
        <x:v>Meet our digital business card. Meet the digital business card. Explore the working demo. Compare plan features and limits. Original illustrative graphic by eLan Technology.</x:v>
      </x:c>
      <x:c r="R25" s="3" t="str">
        <x:v>HOLD: provisional launch slot; publish only after explicit launch approval, working billing, terms and support No client assets or testimonials. No paid promotion. Add and test the approved product URL before publishing. Update and test the profile link before using the caption CTA.</x:v>
      </x:c>
      <x:c r="S25" s="23" t="str">
        <x:v>☐</x:v>
      </x:c>
      <x:c r="T25" s="23" t="str">
        <x:v>☐</x:v>
      </x:c>
      <x:c r="U25" s="23" t="str">
        <x:v>☐</x:v>
      </x:c>
      <x:c r="V25" s="24"/>
      <x:c r="W25" s="22" t="str"/>
      <x:c r="X25" s="26"/>
      <x:c r="Y25" s="26"/>
      <x:c r="Z25" s="26"/>
      <x:c r="AA25" s="22" t="str"/>
      <x:c r="AB25"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6" ht="260" customHeight="1">
      <x:c r="A26" s="23" t="str">
        <x:v>☐</x:v>
      </x:c>
      <x:c r="B26" s="24" t="n">
        <x:v>46339</x:v>
      </x:c>
      <x:c r="C26" s="25" t="n">
        <x:v>0.7916666666666666</x:v>
      </x:c>
      <x:c r="D26" s="15" t="str">
        <x:v>N04</x:v>
      </x:c>
      <x:c r="E26" s="15" t="str">
        <x:v>Conditional</x:v>
      </x:c>
      <x:c r="F26" s="22" t="str">
        <x:v>Hold</x:v>
      </x:c>
      <x:c r="G26" s="22" t="str"/>
      <x:c r="H26" s="15" t="str">
        <x:v>From signup to your first shared card</x:v>
      </x:c>
      <x:c r="I26" s="15" t="str">
        <x:v>From signup to your first shared card.
• Choose the appropriate plan
• Enter accurate business details
• Preview on a phone
• Test the available links
Digital-card subscription prices are + GST. DM CARD for the demo and approved plans.</x:v>
      </x:c>
      <x:c r="J26" s="15" t="str">
        <x:v>#DigitalBusinessCard #BusinessNetworking #eLanTechnology</x:v>
      </x:c>
      <x:c r="K26" s="15" t="str">
        <x:v>Link in bio or relevant DM reply</x:v>
      </x:c>
      <x:c r="L26" s="15" t="str"/>
      <x:c r="M26" s="15" t="str">
        <x:v>Captioned Reel</x:v>
      </x:c>
      <x:c r="N26" s="15" t="str">
        <x:v>COVER: From signup to your first shared card
SLIDE 2: Choose the appropriate plan
SLIDE 3: Enter accurate business details
SLIDE 4: Preview on a phone
SLIDE 5: Test the available links
SLIDE 6: Share the verified card
CLOSING: Request the product walkthrough</x:v>
      </x:c>
      <x:c r="O26" s="15" t="str">
        <x:v>Captioned real onboarding recording using a fictional test identity. Match every step to the released product. No promise of completion in a fixed number of minutes. Keep headline, logo and captions away from interface overlays.</x:v>
      </x:c>
      <x:c r="P26" s="15" t="str">
        <x:v>1080 × 1920 px</x:v>
      </x:c>
      <x:c r="Q26" s="15" t="str">
        <x:v>From signup to your first shared card. Choose the appropriate plan. Enter accurate business details. Preview on a phone. Original illustrative graphic by eLan Technology.</x:v>
      </x:c>
      <x:c r="R26" s="15" t="str">
        <x:v>HOLD unless launched and all shown steps match the released product No client assets or testimonials. No paid promotion. Add and test the approved product URL before publishing. Update and test the profile link before using the caption CTA.</x:v>
      </x:c>
      <x:c r="S26" s="23" t="str">
        <x:v>☐</x:v>
      </x:c>
      <x:c r="T26" s="23" t="str">
        <x:v>☐</x:v>
      </x:c>
      <x:c r="U26" s="23" t="str">
        <x:v>☐</x:v>
      </x:c>
      <x:c r="V26" s="24"/>
      <x:c r="W26" s="22" t="str"/>
      <x:c r="X26" s="26"/>
      <x:c r="Y26" s="26"/>
      <x:c r="Z26" s="26"/>
      <x:c r="AA26" s="22" t="str"/>
      <x:c r="AB26"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7" ht="260" customHeight="1">
      <x:c r="A27" s="23" t="str">
        <x:v>☐</x:v>
      </x:c>
      <x:c r="B27" s="24" t="n">
        <x:v>46343</x:v>
      </x:c>
      <x:c r="C27" s="25" t="n">
        <x:v>0.7916666666666666</x:v>
      </x:c>
      <x:c r="D27" s="3" t="str">
        <x:v>N05</x:v>
      </x:c>
      <x:c r="E27" s="3" t="str">
        <x:v>Core</x:v>
      </x:c>
      <x:c r="F27" s="22" t="str">
        <x:v>Draft</x:v>
      </x:c>
      <x:c r="G27" s="22" t="str"/>
      <x:c r="H27" s="3" t="str">
        <x:v>What affects custom Medusa.js development cost?</x:v>
      </x:c>
      <x:c r="I27" s="3" t="str">
        <x:v>What affects custom Medusa.js development cost?.
• Storefront and product catalogue
• Order and subscription rules
• Payment integrations
• Shipping and fulfilment
Save this for your next website conversation. Request a scoped Medusa.js quote through the link in our bio.</x:v>
      </x:c>
      <x:c r="J27" s="3" t="str">
        <x:v>#MedusaJS #eCommerce #CustomDevelopment</x:v>
      </x:c>
      <x:c r="K27" s="3" t="str">
        <x:v>Link in bio or relevant DM reply</x:v>
      </x:c>
      <x:c r="L27" s="3" t="str">
        <x:v>https://elan-tech.net/services/ecommerce/medusa-js-development/?utm_source=instagram&amp;utm_medium=social&amp;utm_campaign=q4_2026_medusa&amp;utm_content=n05</x:v>
      </x:c>
      <x:c r="M27" s="3" t="str">
        <x:v>Feed carousel</x:v>
      </x:c>
      <x:c r="N27" s="3" t="str">
        <x:v>COVER: What affects custom Medusa.js development cost?
SLIDE 2: Storefront and product catalogue
SLIDE 3: Order and subscription rules
SLIDE 4: Payment integrations
SLIDE 5: Shipping and fulfilment
SLIDE 6: Support and future changes
CLOSING: Request a scoped Medusa.js quote</x:v>
      </x:c>
      <x:c r="O27" s="3" t="str">
        <x:v>Five connected scope blocks in indigo. Use equal-sized rectangles rather than an invented price ladder. Close with a short requirements checklist. Keep headline, logo and captions away from interface overlays.</x:v>
      </x:c>
      <x:c r="P27" s="3" t="str">
        <x:v>1080 × 1350 px</x:v>
      </x:c>
      <x:c r="Q27" s="3" t="str">
        <x:v>What affects custom Medusa.js development cost?. Storefront and product catalogue. Order and subscription rules. Payment integrations. Original illustrative graphic by eLan Technology.</x:v>
      </x:c>
      <x:c r="R27" s="3" t="str">
        <x:v>Standard approval No client assets or testimonials. No paid promotion. Test the destination and mobile contact journey. Update and test the profile link before using the caption CTA.</x:v>
      </x:c>
      <x:c r="S27" s="23" t="str">
        <x:v>☐</x:v>
      </x:c>
      <x:c r="T27" s="23" t="str">
        <x:v>☐</x:v>
      </x:c>
      <x:c r="U27" s="23" t="str">
        <x:v>☐</x:v>
      </x:c>
      <x:c r="V27" s="24"/>
      <x:c r="W27" s="22" t="str"/>
      <x:c r="X27" s="26"/>
      <x:c r="Y27" s="26"/>
      <x:c r="Z27" s="26"/>
      <x:c r="AA27" s="22" t="str"/>
      <x:c r="AB27" s="22" t="str"/>
    </x:row>
    <x:row r="28" ht="260" customHeight="1">
      <x:c r="A28" s="23" t="str">
        <x:v>☐</x:v>
      </x:c>
      <x:c r="B28" s="24" t="n">
        <x:v>46346</x:v>
      </x:c>
      <x:c r="C28" s="25" t="n">
        <x:v>0.7916666666666666</x:v>
      </x:c>
      <x:c r="D28" s="15" t="str">
        <x:v>N06</x:v>
      </x:c>
      <x:c r="E28" s="15" t="str">
        <x:v>Core</x:v>
      </x:c>
      <x:c r="F28" s="22" t="str">
        <x:v>Draft</x:v>
      </x:c>
      <x:c r="G28" s="22" t="str"/>
      <x:c r="H28" s="15" t="str">
        <x:v>After a meeting, send a useful introduction</x:v>
      </x:c>
      <x:c r="I28" s="15" t="str">
        <x:v>After a meeting, send a useful introduction.
• Refer to the conversation
• Share only relevant details
• Make the next step clear
• Respect messaging preferences
Digital-card subscription prices are + GST. DM CARD to discuss the options or request an update.</x:v>
      </x:c>
      <x:c r="J28" s="15" t="str">
        <x:v>#DigitalBusinessCard #BusinessNetworking #eLanTechnology</x:v>
      </x:c>
      <x:c r="K28" s="15" t="str">
        <x:v>Link in bio or relevant DM reply</x:v>
      </x:c>
      <x:c r="L28" s="15" t="str">
        <x:v>https://elan-tech.net/contact/?utm_source=instagram&amp;utm_medium=social&amp;utm_campaign=q4_2026_digital_card&amp;utm_content=n06</x:v>
      </x:c>
      <x:c r="M28" s="15" t="str">
        <x:v>Captioned Reel</x:v>
      </x:c>
      <x:c r="N28" s="15" t="str">
        <x:v>COVER: After a meeting, send a useful introduction
SLIDE 2: Refer to the conversation
SLIDE 3: Share only relevant details
SLIDE 4: Make the next step clear
SLIDE 5: Respect messaging preferences
SLIDE 6: Keep the follow-up personal
CLOSING: Ask about the digital card</x:v>
      </x:c>
      <x:c r="O28" s="15" t="str">
        <x:v>Staged two-person meeting and fictional message overlay. No real contacts, client logos or invented message screenshots presented as genuine. End with a labelled sample profile. Keep headline, logo and captions away from interface overlays.</x:v>
      </x:c>
      <x:c r="P28" s="15" t="str">
        <x:v>1080 × 1920 px</x:v>
      </x:c>
      <x:c r="Q28" s="15" t="str">
        <x:v>After a meeting, send a useful introduction. Refer to the conversation. Share only relevant details. Make the next step clear. Original illustrative graphic by eLan Technology.</x:v>
      </x:c>
      <x:c r="R28" s="15" t="str">
        <x:v>Standard approval No client assets or testimonials. No paid promotion. Test the destination and mobile contact journey. Update and test the profile link before using the caption CTA.</x:v>
      </x:c>
      <x:c r="S28" s="23" t="str">
        <x:v>☐</x:v>
      </x:c>
      <x:c r="T28" s="23" t="str">
        <x:v>☐</x:v>
      </x:c>
      <x:c r="U28" s="23" t="str">
        <x:v>☐</x:v>
      </x:c>
      <x:c r="V28" s="24"/>
      <x:c r="W28" s="22" t="str"/>
      <x:c r="X28" s="26"/>
      <x:c r="Y28" s="26"/>
      <x:c r="Z28" s="26"/>
      <x:c r="AA28" s="22" t="str"/>
      <x:c r="AB28"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9" ht="260" customHeight="1">
      <x:c r="A29" s="23" t="str">
        <x:v>☐</x:v>
      </x:c>
      <x:c r="B29" s="24" t="n">
        <x:v>46350</x:v>
      </x:c>
      <x:c r="C29" s="25" t="n">
        <x:v>0.7916666666666666</x:v>
      </x:c>
      <x:c r="D29" s="3" t="str">
        <x:v>N07</x:v>
      </x:c>
      <x:c r="E29" s="3" t="str">
        <x:v>Core</x:v>
      </x:c>
      <x:c r="F29" s="22" t="str">
        <x:v>Draft</x:v>
      </x:c>
      <x:c r="G29" s="22" t="str"/>
      <x:c r="H29" s="3" t="str">
        <x:v>A portal shaped around your organisation</x:v>
      </x:c>
      <x:c r="I29" s="3" t="str">
        <x:v>A portal shaped around your organisation.
• Real Estate Portal
• Medical Conference Portal
• IMA Society Portal
• Resort Management Portal
Save this for your next website conversation. Request a portal discussion through the link in our bio.</x:v>
      </x:c>
      <x:c r="J29" s="3" t="str">
        <x:v>#BusinessSoftware #CustomDevelopment #BusinessPortal</x:v>
      </x:c>
      <x:c r="K29" s="3" t="str">
        <x:v>Link in bio or relevant DM reply</x:v>
      </x:c>
      <x:c r="L29" s="3" t="str">
        <x:v>https://elan-tech.net/products/?utm_source=instagram&amp;utm_medium=social&amp;utm_campaign=q4_2026_portals&amp;utm_content=n07</x:v>
      </x:c>
      <x:c r="M29" s="3" t="str">
        <x:v>Feed carousel</x:v>
      </x:c>
      <x:c r="N29" s="3" t="str">
        <x:v>COVER: A portal shaped around your organisation
SLIDE 2: Real Estate Portal
SLIDE 3: Medical Conference Portal
SLIDE 4: IMA Society Portal
SLIDE 5: Resort Management Portal
SLIDE 6: Customisation and commercial terms are proposal-dependent
CLOSING: Request a portal discussion</x:v>
      </x:c>
      <x:c r="O29" s="3" t="str">
        <x:v>Four original workflow tiles with one sample admin diagram. Do not use PropertyCab as the product name. Mark Demonstration. No unlimited licence, ownership or SaaS-free promise. Keep headline, logo and captions away from interface overlays.</x:v>
      </x:c>
      <x:c r="P29" s="3" t="str">
        <x:v>1080 × 1350 px</x:v>
      </x:c>
      <x:c r="Q29" s="3" t="str">
        <x:v>A portal shaped around your organisation. Real Estate Portal. Medical Conference Portal. IMA Society Portal. Original illustrative graphic by eLan Technology.</x:v>
      </x:c>
      <x:c r="R29" s="3" t="str">
        <x:v>Standard approval No client assets or testimonials. No paid promotion. Test the destination and mobile contact journey. Update and test the profile link before using the caption CTA.</x:v>
      </x:c>
      <x:c r="S29" s="23" t="str">
        <x:v>☐</x:v>
      </x:c>
      <x:c r="T29" s="23" t="str">
        <x:v>☐</x:v>
      </x:c>
      <x:c r="U29" s="23" t="str">
        <x:v>☐</x:v>
      </x:c>
      <x:c r="V29" s="24"/>
      <x:c r="W29" s="22" t="str"/>
      <x:c r="X29" s="26"/>
      <x:c r="Y29" s="26"/>
      <x:c r="Z29" s="26"/>
      <x:c r="AA29" s="22" t="str"/>
      <x:c r="AB29" s="22" t="str"/>
    </x:row>
    <x:row r="30" ht="260" customHeight="1">
      <x:c r="A30" s="23" t="str">
        <x:v>☐</x:v>
      </x:c>
      <x:c r="B30" s="24" t="n">
        <x:v>46353</x:v>
      </x:c>
      <x:c r="C30" s="25" t="n">
        <x:v>0.7916666666666666</x:v>
      </x:c>
      <x:c r="D30" s="15" t="str">
        <x:v>N08</x:v>
      </x:c>
      <x:c r="E30" s="15" t="str">
        <x:v>Core</x:v>
      </x:c>
      <x:c r="F30" s="22" t="str">
        <x:v>Draft</x:v>
      </x:c>
      <x:c r="G30" s="22" t="str"/>
      <x:c r="H30" s="15" t="str">
        <x:v>Paper and digital cards can work together</x:v>
      </x:c>
      <x:c r="I30" s="15" t="str">
        <x:v>Paper and digital cards can work together.
• A printed card starts a conversation
• A digital profile adds another route
• Test the QR destination
• Include a readable URL
Digital-card subscription prices are + GST. DM CARD to discuss the options or request an update.</x:v>
      </x:c>
      <x:c r="J30" s="15" t="str">
        <x:v>#DigitalBusinessCard #BusinessNetworking #eLanTechnology</x:v>
      </x:c>
      <x:c r="K30" s="15" t="str">
        <x:v>Link in bio or relevant DM reply</x:v>
      </x:c>
      <x:c r="L30" s="15" t="str">
        <x:v>https://elan-tech.net/contact/?utm_source=instagram&amp;utm_medium=social&amp;utm_campaign=q4_2026_digital_card&amp;utm_content=n08</x:v>
      </x:c>
      <x:c r="M30" s="15" t="str">
        <x:v>Feed carousel</x:v>
      </x:c>
      <x:c r="N30" s="15" t="str">
        <x:v>COVER: Paper and digital cards can work together
SLIDE 2: A printed card starts a conversation
SLIDE 3: A digital profile adds another route
SLIDE 4: Test the QR destination
SLIDE 5: Include a readable URL
SLIDE 6: Choose for your audience
CLOSING: Ask about digital card options</x:v>
      </x:c>
      <x:c r="O30" s="15" t="str">
        <x:v>Side-by-side original printed card and sample phone profile. QR placeholder must not be published as a working code. Replace with a tested code only after the final domain is ready. Keep headline, logo and captions away from interface overlays.</x:v>
      </x:c>
      <x:c r="P30" s="15" t="str">
        <x:v>1080 × 1350 px</x:v>
      </x:c>
      <x:c r="Q30" s="15" t="str">
        <x:v>Paper and digital cards can work together. A printed card starts a conversation. A digital profile adds another route. Test the QR destination. Original illustrative graphic by eLan Technology.</x:v>
      </x:c>
      <x:c r="R30" s="15" t="str">
        <x:v>Standard approval No client assets or testimonials. No paid promotion. Test the destination and mobile contact journey. Update and test the profile link before using the caption CTA.</x:v>
      </x:c>
      <x:c r="S30" s="23" t="str">
        <x:v>☐</x:v>
      </x:c>
      <x:c r="T30" s="23" t="str">
        <x:v>☐</x:v>
      </x:c>
      <x:c r="U30" s="23" t="str">
        <x:v>☐</x:v>
      </x:c>
      <x:c r="V30" s="24"/>
      <x:c r="W30" s="22" t="str"/>
      <x:c r="X30" s="26"/>
      <x:c r="Y30" s="26"/>
      <x:c r="Z30" s="26"/>
      <x:c r="AA30" s="22" t="str"/>
      <x:c r="AB30"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1" ht="260" customHeight="1">
      <x:c r="A31" s="23" t="str">
        <x:v>☐</x:v>
      </x:c>
      <x:c r="B31" s="24" t="n">
        <x:v>46357</x:v>
      </x:c>
      <x:c r="C31" s="25" t="n">
        <x:v>0.7916666666666666</x:v>
      </x:c>
      <x:c r="D31" s="3" t="str">
        <x:v>D01</x:v>
      </x:c>
      <x:c r="E31" s="3" t="str">
        <x:v>Core</x:v>
      </x:c>
      <x:c r="F31" s="22" t="str">
        <x:v>Draft</x:v>
      </x:c>
      <x:c r="G31" s="22" t="str"/>
      <x:c r="H31" s="3" t="str">
        <x:v>What responsive website support looks like</x:v>
      </x:c>
      <x:c r="I31" s="3" t="str">
        <x:v>What responsive website support looks like.
• Describe the issue clearly
• Share steps and a safe screenshot
• Agree priority and scope
• Review the change
Save this for your next website conversation. Discuss website support through the link in our bio.</x:v>
      </x:c>
      <x:c r="J31" s="3" t="str">
        <x:v>#WebsiteMaintenance #BusinessWebsite #eLanTechnology</x:v>
      </x:c>
      <x:c r="K31" s="3" t="str">
        <x:v>Link in bio or relevant DM reply</x:v>
      </x:c>
      <x:c r="L31" s="3" t="str">
        <x:v>https://elan-tech.net/contact/?utm_source=instagram&amp;utm_medium=social&amp;utm_campaign=q4_2026_support&amp;utm_content=d01</x:v>
      </x:c>
      <x:c r="M31" s="3" t="str">
        <x:v>Feed carousel</x:v>
      </x:c>
      <x:c r="N31" s="3" t="str">
        <x:v>COVER: What responsive website support looks like
SLIDE 2: Describe the issue clearly
SLIDE 3: Share steps and a safe screenshot
SLIDE 4: Agree priority and scope
SLIDE 5: Review the change
SLIDE 6: Confirm the issue is resolved
CLOSING: Discuss website support</x:v>
      </x:c>
      <x:c r="O31" s="3" t="str">
        <x:v>Four-panel ticket journey with fictional sample issue, no timestamps implying an SLA. Blue and teal. Avoid customer quotes or a fabricated support rating. Keep headline, logo and captions away from interface overlays.</x:v>
      </x:c>
      <x:c r="P31" s="3" t="str">
        <x:v>1080 × 1350 px</x:v>
      </x:c>
      <x:c r="Q31" s="3" t="str">
        <x:v>What responsive website support looks like. Describe the issue clearly. Share steps and a safe screenshot. Agree priority and scope. Original illustrative graphic by eLan Technology.</x:v>
      </x:c>
      <x:c r="R31" s="3" t="str">
        <x:v>Standard approval No client assets or testimonials. No paid promotion. Test the destination and mobile contact journey. Update and test the profile link before using the caption CTA.</x:v>
      </x:c>
      <x:c r="S31" s="23" t="str">
        <x:v>☐</x:v>
      </x:c>
      <x:c r="T31" s="23" t="str">
        <x:v>☐</x:v>
      </x:c>
      <x:c r="U31" s="23" t="str">
        <x:v>☐</x:v>
      </x:c>
      <x:c r="V31" s="24"/>
      <x:c r="W31" s="22" t="str"/>
      <x:c r="X31" s="26"/>
      <x:c r="Y31" s="26"/>
      <x:c r="Z31" s="26"/>
      <x:c r="AA31" s="22" t="str"/>
      <x:c r="AB31" s="22" t="str"/>
    </x:row>
    <x:row r="32" ht="260" customHeight="1">
      <x:c r="A32" s="23" t="str">
        <x:v>☐</x:v>
      </x:c>
      <x:c r="B32" s="24" t="n">
        <x:v>46359</x:v>
      </x:c>
      <x:c r="C32" s="25" t="n">
        <x:v>0.7916666666666666</x:v>
      </x:c>
      <x:c r="D32" s="15" t="str">
        <x:v>D02</x:v>
      </x:c>
      <x:c r="E32" s="15" t="str">
        <x:v>Core</x:v>
      </x:c>
      <x:c r="F32" s="22" t="str">
        <x:v>Draft</x:v>
      </x:c>
      <x:c r="G32" s="22" t="str"/>
      <x:c r="H32" s="15" t="str">
        <x:v>Digital access should work for more people</x:v>
      </x:c>
      <x:c r="I32" s="15" t="str">
        <x:v>Digital access should work for more people.
• Readable content
• Clear form labels
• Keyboard operation
• Useful error messages
Save this for your next website conversation. Discuss an accessibility assessment through the link in our bio.</x:v>
      </x:c>
      <x:c r="J32" s="15" t="str">
        <x:v>#WebAccessibility #InclusiveDesign #WCAG</x:v>
      </x:c>
      <x:c r="K32" s="15" t="str">
        <x:v>Link in bio or relevant DM reply</x:v>
      </x:c>
      <x:c r="L32" s="15" t="str">
        <x:v>https://elan-tech.net/services/ada-compliant-web-design/?utm_source=instagram&amp;utm_medium=social&amp;utm_campaign=q4_2026_accessibility&amp;utm_content=d02</x:v>
      </x:c>
      <x:c r="M32" s="15" t="str">
        <x:v>Captioned Reel</x:v>
      </x:c>
      <x:c r="N32" s="15" t="str">
        <x:v>COVER: Digital access should work for more people
SLIDE 2: Readable content
SLIDE 3: Clear form labels
SLIDE 4: Keyboard operation
SLIDE 5: Useful error messages
SLIDE 6: Accessibility is ongoing work
CLOSING: Discuss an accessibility assessment</x:v>
      </x:c>
      <x:c r="O32" s="15" t="str">
        <x:v>Inclusive 25-second interface demo, no pity imagery. Show labels, focus and readable contrast using sample data. Add captions and a clear limitation: Starting checks, not certification. Keep headline, logo and captions away from interface overlays.</x:v>
      </x:c>
      <x:c r="P32" s="15" t="str">
        <x:v>1080 × 1920 px</x:v>
      </x:c>
      <x:c r="Q32" s="15" t="str">
        <x:v>Digital access should work for more people. Readable content. Clear form labels. Keyboard operation. Original illustrative graphic by eLan Technology.</x:v>
      </x:c>
      <x:c r="R32" s="15" t="str">
        <x:v>Standard approval No client assets or testimonials. No paid promotion. Test the destination and mobile contact journey. Update and test the profile link before using the caption CTA.</x:v>
      </x:c>
      <x:c r="S32" s="23" t="str">
        <x:v>☐</x:v>
      </x:c>
      <x:c r="T32" s="23" t="str">
        <x:v>☐</x:v>
      </x:c>
      <x:c r="U32" s="23" t="str">
        <x:v>☐</x:v>
      </x:c>
      <x:c r="V32" s="24"/>
      <x:c r="W32" s="22" t="str"/>
      <x:c r="X32" s="26"/>
      <x:c r="Y32" s="26"/>
      <x:c r="Z32" s="26"/>
      <x:c r="AA32" s="22" t="str"/>
      <x:c r="AB32" s="22" t="str"/>
    </x:row>
    <x:row r="33" ht="260" customHeight="1">
      <x:c r="A33" s="23" t="str">
        <x:v>☐</x:v>
      </x:c>
      <x:c r="B33" s="24" t="n">
        <x:v>46364</x:v>
      </x:c>
      <x:c r="C33" s="25" t="n">
        <x:v>0.7916666666666666</x:v>
      </x:c>
      <x:c r="D33" s="3" t="str">
        <x:v>D03</x:v>
      </x:c>
      <x:c r="E33" s="3" t="str">
        <x:v>Core</x:v>
      </x:c>
      <x:c r="F33" s="22" t="str">
        <x:v>Draft</x:v>
      </x:c>
      <x:c r="G33" s="22" t="str"/>
      <x:c r="H33" s="3" t="str">
        <x:v>Are your business details ready for 2027?</x:v>
      </x:c>
      <x:c r="I33" s="3" t="str">
        <x:v>Are your business details ready for 2027?.
• Check the public phone number
• Test the email and contact route
• Update service information
• Open every link on a phone
Digital-card subscription prices are + GST. DM CARD to discuss the options or request an update.</x:v>
      </x:c>
      <x:c r="J33" s="3" t="str">
        <x:v>#DigitalBusinessCard #BusinessNetworking #eLanTechnology</x:v>
      </x:c>
      <x:c r="K33" s="3" t="str">
        <x:v>Link in bio or relevant DM reply</x:v>
      </x:c>
      <x:c r="L33" s="3" t="str">
        <x:v>https://elan-tech.net/contact/?utm_source=instagram&amp;utm_medium=social&amp;utm_campaign=q4_2026_digital_card&amp;utm_content=d03</x:v>
      </x:c>
      <x:c r="M33" s="3" t="str">
        <x:v>Feed carousel</x:v>
      </x:c>
      <x:c r="N33" s="3" t="str">
        <x:v>COVER: Are your business details ready for 2027?
SLIDE 2: Check the public phone number
SLIDE 3: Test the email and contact route
SLIDE 4: Update service information
SLIDE 5: Open every link on a phone
SLIDE 6: Keep profiles consistent
CLOSING: Review your business details</x:v>
      </x:c>
      <x:c r="O33" s="3" t="str">
        <x:v>Five checklist panels with a fictional profile card. Never show the developer contact number or real personal data. No claim that the subscription product is live unless confirmed. Keep headline, logo and captions away from interface overlays.</x:v>
      </x:c>
      <x:c r="P33" s="3" t="str">
        <x:v>1080 × 1350 px</x:v>
      </x:c>
      <x:c r="Q33" s="3" t="str">
        <x:v>Are your business details ready for 2027?. Check the public phone number. Test the email and contact route. Update service information. Original illustrative graphic by eLan Technology.</x:v>
      </x:c>
      <x:c r="R33" s="3" t="str">
        <x:v>Standard approval No client assets or testimonials. No paid promotion. Test the destination and mobile contact journey. Update and test the profile link before using the caption CTA.</x:v>
      </x:c>
      <x:c r="S33" s="23" t="str">
        <x:v>☐</x:v>
      </x:c>
      <x:c r="T33" s="23" t="str">
        <x:v>☐</x:v>
      </x:c>
      <x:c r="U33" s="23" t="str">
        <x:v>☐</x:v>
      </x:c>
      <x:c r="V33" s="24"/>
      <x:c r="W33" s="22" t="str"/>
      <x:c r="X33" s="26"/>
      <x:c r="Y33" s="26"/>
      <x:c r="Z33" s="26"/>
      <x:c r="AA33" s="22" t="str"/>
      <x:c r="AB33"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4" ht="260" customHeight="1">
      <x:c r="A34" s="23" t="str">
        <x:v>☐</x:v>
      </x:c>
      <x:c r="B34" s="24" t="n">
        <x:v>46367</x:v>
      </x:c>
      <x:c r="C34" s="25" t="n">
        <x:v>0.7916666666666666</x:v>
      </x:c>
      <x:c r="D34" s="15" t="str">
        <x:v>D04</x:v>
      </x:c>
      <x:c r="E34" s="15" t="str">
        <x:v>Core</x:v>
      </x:c>
      <x:c r="F34" s="22" t="str">
        <x:v>Draft</x:v>
      </x:c>
      <x:c r="G34" s="22" t="str"/>
      <x:c r="H34" s="15" t="str">
        <x:v>Plan your 2027 website before the rush</x:v>
      </x:c>
      <x:c r="I34" s="15" t="str">
        <x:v>Plan your 2027 website before the rush.
• Define the main business goal
• List content and integrations
• Set a realistic budget
• Agree who approves decisions
Save this for your next website conversation. Request a website planning quote through the link in our bio.</x:v>
      </x:c>
      <x:c r="J34" s="15" t="str">
        <x:v>#BusinessWebsite #WebDesign #eLanTechnology</x:v>
      </x:c>
      <x:c r="K34" s="15" t="str">
        <x:v>Link in bio or relevant DM reply</x:v>
      </x:c>
      <x:c r="L34" s="15" t="str">
        <x:v>https://elan-tech.net/contact/?utm_source=instagram&amp;utm_medium=social&amp;utm_campaign=q4_2026_websites&amp;utm_content=d04</x:v>
      </x:c>
      <x:c r="M34" s="15" t="str">
        <x:v>Feed carousel</x:v>
      </x:c>
      <x:c r="N34" s="15" t="str">
        <x:v>COVER: Plan your 2027 website before the rush
SLIDE 2: Define the main business goal
SLIDE 3: List content and integrations
SLIDE 4: Set a realistic budget
SLIDE 5: Agree who approves decisions
SLIDE 6: Include support after launch
CLOSING: Request a website planning quote</x:v>
      </x:c>
      <x:c r="O34" s="15" t="str">
        <x:v>Six-slide planning workbook aesthetic, cream and blue with orange tabs. Final slide is an empty original brief template, not a real proposal. Keep headline, logo and captions away from interface overlays.</x:v>
      </x:c>
      <x:c r="P34" s="15" t="str">
        <x:v>1080 × 1350 px</x:v>
      </x:c>
      <x:c r="Q34" s="15" t="str">
        <x:v>Plan your 2027 website before the rush. Define the main business goal. List content and integrations. Set a realistic budget. Original illustrative graphic by eLan Technology.</x:v>
      </x:c>
      <x:c r="R34" s="15" t="str">
        <x:v>Standard approval No client assets or testimonials. No paid promotion. Test the destination and mobile contact journey. Update and test the profile link before using the caption CTA.</x:v>
      </x:c>
      <x:c r="S34" s="23" t="str">
        <x:v>☐</x:v>
      </x:c>
      <x:c r="T34" s="23" t="str">
        <x:v>☐</x:v>
      </x:c>
      <x:c r="U34" s="23" t="str">
        <x:v>☐</x:v>
      </x:c>
      <x:c r="V34" s="24"/>
      <x:c r="W34" s="22" t="str"/>
      <x:c r="X34" s="26"/>
      <x:c r="Y34" s="26"/>
      <x:c r="Z34" s="26"/>
      <x:c r="AA34" s="22" t="str"/>
      <x:c r="AB34" s="22" t="str"/>
    </x:row>
    <x:row r="35" ht="260" customHeight="1">
      <x:c r="A35" s="23" t="str">
        <x:v>☐</x:v>
      </x:c>
      <x:c r="B35" s="24" t="n">
        <x:v>46371</x:v>
      </x:c>
      <x:c r="C35" s="25" t="n">
        <x:v>0.7916666666666666</x:v>
      </x:c>
      <x:c r="D35" s="3" t="str">
        <x:v>D05</x:v>
      </x:c>
      <x:c r="E35" s="3" t="str">
        <x:v>Core</x:v>
      </x:c>
      <x:c r="F35" s="22" t="str">
        <x:v>Draft</x:v>
      </x:c>
      <x:c r="G35" s="22" t="str"/>
      <x:c r="H35" s="3" t="str">
        <x:v>A custom commerce workflow, explained simply</x:v>
      </x:c>
      <x:c r="I35" s="3" t="str">
        <x:v>A custom commerce workflow, explained simply.
• Customer browses and orders
• Payment status is confirmed
• Recurring rules apply if required
• Fulfilment receives instructions
Save this for your next website conversation. Discuss your commerce workflow through the link in our bio.</x:v>
      </x:c>
      <x:c r="J35" s="3" t="str">
        <x:v>#eCommerce #CustomDevelopment #OnlineStore</x:v>
      </x:c>
      <x:c r="K35" s="3" t="str">
        <x:v>Link in bio or relevant DM reply</x:v>
      </x:c>
      <x:c r="L35" s="3" t="str">
        <x:v>https://elan-tech.net/services/ecommerce/?utm_source=instagram&amp;utm_medium=social&amp;utm_campaign=q4_2026_commerce&amp;utm_content=d05</x:v>
      </x:c>
      <x:c r="M35" s="3" t="str">
        <x:v>Captioned Reel</x:v>
      </x:c>
      <x:c r="N35" s="3" t="str">
        <x:v>COVER: A custom commerce workflow, explained simply
SLIDE 2: Customer browses and orders
SLIDE 3: Payment status is confirmed
SLIDE 4: Recurring rules apply if required
SLIDE 5: Fulfilment receives instructions
SLIDE 6: Support can follow the order journey
CLOSING: Discuss your commerce workflow</x:v>
      </x:c>
      <x:c r="O35" s="3" t="str">
        <x:v>30-second animated original diagram, storefront to payments to fulfilment with a support loop. Label Illustrative workflow. No revenue counter, live payments or client screenshots. Keep headline, logo and captions away from interface overlays.</x:v>
      </x:c>
      <x:c r="P35" s="3" t="str">
        <x:v>1080 × 1920 px</x:v>
      </x:c>
      <x:c r="Q35" s="3" t="str">
        <x:v>A custom commerce workflow, explained simply. Customer browses and orders. Payment status is confirmed. Recurring rules apply if required. Original illustrative graphic by eLan Technology.</x:v>
      </x:c>
      <x:c r="R35" s="3" t="str">
        <x:v>Standard approval No client assets or testimonials. No paid promotion. Test the destination and mobile contact journey. Update and test the profile link before using the caption CTA.</x:v>
      </x:c>
      <x:c r="S35" s="23" t="str">
        <x:v>☐</x:v>
      </x:c>
      <x:c r="T35" s="23" t="str">
        <x:v>☐</x:v>
      </x:c>
      <x:c r="U35" s="23" t="str">
        <x:v>☐</x:v>
      </x:c>
      <x:c r="V35" s="24"/>
      <x:c r="W35" s="22" t="str"/>
      <x:c r="X35" s="26"/>
      <x:c r="Y35" s="26"/>
      <x:c r="Z35" s="26"/>
      <x:c r="AA35" s="22" t="str"/>
      <x:c r="AB35" s="22" t="str"/>
    </x:row>
    <x:row r="36" ht="260" customHeight="1">
      <x:c r="A36" s="23" t="str">
        <x:v>☐</x:v>
      </x:c>
      <x:c r="B36" s="24" t="n">
        <x:v>46374</x:v>
      </x:c>
      <x:c r="C36" s="25" t="n">
        <x:v>0.7916666666666666</x:v>
      </x:c>
      <x:c r="D36" s="15" t="str">
        <x:v>D06</x:v>
      </x:c>
      <x:c r="E36" s="15" t="str">
        <x:v>Core</x:v>
      </x:c>
      <x:c r="F36" s="22" t="str">
        <x:v>Draft</x:v>
      </x:c>
      <x:c r="G36" s="22" t="str"/>
      <x:c r="H36" s="15" t="str">
        <x:v>Read the subscription details before you choose</x:v>
      </x:c>
      <x:c r="I36" s="15" t="str">
        <x:v>Read the subscription details before you choose.
• What features are included?
• How often is the plan billed?
• What limits apply?
• How do renewal and cancellation work?
Digital-card subscription prices are + GST. DM CARD to discuss the options or request an update.</x:v>
      </x:c>
      <x:c r="J36" s="15" t="str">
        <x:v>#DigitalBusinessCard #BusinessNetworking #eLanTechnology</x:v>
      </x:c>
      <x:c r="K36" s="15" t="str">
        <x:v>Link in bio or relevant DM reply</x:v>
      </x:c>
      <x:c r="L36" s="15" t="str">
        <x:v>https://elan-tech.net/contact/?utm_source=instagram&amp;utm_medium=social&amp;utm_campaign=q4_2026_digital_card&amp;utm_content=d06</x:v>
      </x:c>
      <x:c r="M36" s="15" t="str">
        <x:v>Feed carousel</x:v>
      </x:c>
      <x:c r="N36" s="15" t="str">
        <x:v>COVER: Read the subscription details before you choose
SLIDE 2: What features are included?
SLIDE 3: How often is the plan billed?
SLIDE 4: What limits apply?
SLIDE 5: How do renewal and cancellation work?
SLIDE 6: Prices are quoted + GST
CLOSING: Request subscription plan details</x:v>
      </x:c>
      <x:c r="O36" s="15" t="str">
        <x:v>Clean five-panel plan-reading guide. Do not invent a tier, free plan, fee or cancellation promise. Insert actual prices only after approval, always beside + GST. Keep headline, logo and captions away from interface overlays.</x:v>
      </x:c>
      <x:c r="P36" s="15" t="str">
        <x:v>1080 × 1350 px</x:v>
      </x:c>
      <x:c r="Q36" s="15" t="str">
        <x:v>Read the subscription details before you choose. What features are included?. How often is the plan billed?. What limits apply?. Original illustrative graphic by eLan Technology.</x:v>
      </x:c>
      <x:c r="R36" s="15" t="str">
        <x:v>Approve plan terms before adding prices or purchase link No client assets or testimonials. No paid promotion. Test the destination and mobile contact journey. Update and test the profile link before using the caption CTA.</x:v>
      </x:c>
      <x:c r="S36" s="23" t="str">
        <x:v>☐</x:v>
      </x:c>
      <x:c r="T36" s="23" t="str">
        <x:v>☐</x:v>
      </x:c>
      <x:c r="U36" s="23" t="str">
        <x:v>☐</x:v>
      </x:c>
      <x:c r="V36" s="24"/>
      <x:c r="W36" s="22" t="str"/>
      <x:c r="X36" s="26"/>
      <x:c r="Y36" s="26"/>
      <x:c r="Z36" s="26"/>
      <x:c r="AA36" s="22" t="str"/>
      <x:c r="AB36"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7" ht="260" customHeight="1">
      <x:c r="A37" s="23" t="str">
        <x:v>☐</x:v>
      </x:c>
      <x:c r="B37" s="24" t="n">
        <x:v>46378</x:v>
      </x:c>
      <x:c r="C37" s="25" t="n">
        <x:v>0.7916666666666666</x:v>
      </x:c>
      <x:c r="D37" s="3" t="str">
        <x:v>D07</x:v>
      </x:c>
      <x:c r="E37" s="3" t="str">
        <x:v>Core</x:v>
      </x:c>
      <x:c r="F37" s="22" t="str">
        <x:v>Draft</x:v>
      </x:c>
      <x:c r="G37" s="22" t="str"/>
      <x:c r="H37" s="3" t="str">
        <x:v>Small website details worth getting right</x:v>
      </x:c>
      <x:c r="I37" s="3" t="str">
        <x:v>Small website details worth getting right.
• Read the text on a phone
• Use the mobile menu
• Check product and service details
• Test forms and contact routes
Save this for your next website conversation. Discuss website improvements through the link in our bio.</x:v>
      </x:c>
      <x:c r="J37" s="3" t="str">
        <x:v>#BusinessWebsite #WebDesign #eLanTechnology</x:v>
      </x:c>
      <x:c r="K37" s="3" t="str">
        <x:v>Link in bio or relevant DM reply</x:v>
      </x:c>
      <x:c r="L37" s="3" t="str">
        <x:v>https://elan-tech.net/contact/?utm_source=instagram&amp;utm_medium=social&amp;utm_campaign=q4_2026_websites&amp;utm_content=d07</x:v>
      </x:c>
      <x:c r="M37" s="3" t="str">
        <x:v>Feed carousel</x:v>
      </x:c>
      <x:c r="N37" s="3" t="str">
        <x:v>COVER: Small website details worth getting right
SLIDE 2: Read the text on a phone
SLIDE 3: Use the mobile menu
SLIDE 4: Check product and service details
SLIDE 5: Test forms and contact routes
SLIDE 6: Review keyboard focus
CLOSING: Discuss website improvements</x:v>
      </x:c>
      <x:c r="O37" s="3" t="str">
        <x:v>Six short original demo clips or six-slide carousel. One detail per frame, blue base with teal accents. No portfolio montage or client logos. Keep headline, logo and captions away from interface overlays.</x:v>
      </x:c>
      <x:c r="P37" s="3" t="str">
        <x:v>1080 × 1350 px</x:v>
      </x:c>
      <x:c r="Q37" s="3" t="str">
        <x:v>Small website details worth getting right. Read the text on a phone. Use the mobile menu. Check product and service details. Original illustrative graphic by eLan Technology.</x:v>
      </x:c>
      <x:c r="R37" s="3" t="str">
        <x:v>Standard approval No client assets or testimonials. No paid promotion. Test the destination and mobile contact journey. Update and test the profile link before using the caption CTA.</x:v>
      </x:c>
      <x:c r="S37" s="23" t="str">
        <x:v>☐</x:v>
      </x:c>
      <x:c r="T37" s="23" t="str">
        <x:v>☐</x:v>
      </x:c>
      <x:c r="U37" s="23" t="str">
        <x:v>☐</x:v>
      </x:c>
      <x:c r="V37" s="24"/>
      <x:c r="W37" s="22" t="str"/>
      <x:c r="X37" s="26"/>
      <x:c r="Y37" s="26"/>
      <x:c r="Z37" s="26"/>
      <x:c r="AA37" s="22" t="str"/>
      <x:c r="AB37" s="22" t="str"/>
    </x:row>
    <x:row r="38" ht="260" customHeight="1">
      <x:c r="A38" s="23" t="str">
        <x:v>☐</x:v>
      </x:c>
      <x:c r="B38" s="24" t="n">
        <x:v>46381</x:v>
      </x:c>
      <x:c r="C38" s="25" t="n">
        <x:v>0.7916666666666666</x:v>
      </x:c>
      <x:c r="D38" s="15" t="str">
        <x:v>D08</x:v>
      </x:c>
      <x:c r="E38" s="15" t="str">
        <x:v>Core</x:v>
      </x:c>
      <x:c r="F38" s="22" t="str">
        <x:v>Draft</x:v>
      </x:c>
      <x:c r="G38" s="22" t="str"/>
      <x:c r="H38" s="15" t="str">
        <x:v>Wishing you a warm and peaceful Christmas</x:v>
      </x:c>
      <x:c r="I38" s="15" t="str">
        <x:v>Wishing you a warm and peaceful Christmas.
• Merry Christmas
• Warm wishes from eLan Technology
• Wishing you a peaceful holiday season
Warm wishes from eLan Technology.</x:v>
      </x:c>
      <x:c r="J38" s="15" t="str">
        <x:v>#eLanTechnology</x:v>
      </x:c>
      <x:c r="K38" s="15" t="str">
        <x:v>No sales CTA</x:v>
      </x:c>
      <x:c r="L38" s="15" t="str"/>
      <x:c r="M38" s="15" t="str">
        <x:v>Feed carousel</x:v>
      </x:c>
      <x:c r="N38" s="15" t="str">
        <x:v>COVER: Wishing you a warm and peaceful Christmas
SLIDE 2: Merry Christmas
SLIDE 3: Warm wishes from eLan Technology
SLIDE 4: Wishing you a peaceful holiday season
CLOSING: No sales CTA</x:v>
      </x:c>
      <x:c r="O38" s="15" t="str">
        <x:v>Bright cream card, fine blue line illustration of a tree with a small orange star. Minimal five-second animation optional. No price, sale, client assets or CTA. Keep headline, logo and captions away from interface overlays.</x:v>
      </x:c>
      <x:c r="P38" s="15" t="str">
        <x:v>1080 × 1350 px</x:v>
      </x:c>
      <x:c r="Q38" s="15" t="str">
        <x:v>Wishing you a warm and peaceful Christmas. Merry Christmas. Warm wishes from eLan Technology. Wishing you a peaceful holiday season. Original illustrative graphic by eLan Technology.</x:v>
      </x:c>
      <x:c r="R38" s="15" t="str">
        <x:v>Standard approval No client assets or testimonials. No paid promotion. Test the destination and mobile contact journey. Update and test the profile link before using the caption CTA.</x:v>
      </x:c>
      <x:c r="S38" s="23" t="str">
        <x:v>☐</x:v>
      </x:c>
      <x:c r="T38" s="23" t="str">
        <x:v>☐</x:v>
      </x:c>
      <x:c r="U38" s="23" t="str">
        <x:v>☐</x:v>
      </x:c>
      <x:c r="V38" s="24"/>
      <x:c r="W38" s="22" t="str"/>
      <x:c r="X38" s="26"/>
      <x:c r="Y38" s="26"/>
      <x:c r="Z38" s="26"/>
      <x:c r="AA38" s="22" t="str"/>
      <x:c r="AB38" s="22" t="str"/>
    </x:row>
    <x:row r="39" ht="260" customHeight="1">
      <x:c r="A39" s="23" t="str">
        <x:v>☐</x:v>
      </x:c>
      <x:c r="B39" s="24" t="n">
        <x:v>46385</x:v>
      </x:c>
      <x:c r="C39" s="25" t="n">
        <x:v>0.7916666666666666</x:v>
      </x:c>
      <x:c r="D39" s="3" t="str">
        <x:v>D09</x:v>
      </x:c>
      <x:c r="E39" s="3" t="str">
        <x:v>Core</x:v>
      </x:c>
      <x:c r="F39" s="22" t="str">
        <x:v>Draft</x:v>
      </x:c>
      <x:c r="G39" s="22" t="str"/>
      <x:c r="H39" s="3" t="str">
        <x:v>What should work better for your business next year?</x:v>
      </x:c>
      <x:c r="I39" s="3" t="str">
        <x:v>What should work better for your business next year?.
• Make introductions easier
• Explain services more clearly
• Improve the shopping journey
• Choose one priority
Save this for your next website conversation. Tell us your 2027 priority through the link in our bio.</x:v>
      </x:c>
      <x:c r="J39" s="3" t="str">
        <x:v>#BusinessWebsite #WebDesign #eLanTechnology</x:v>
      </x:c>
      <x:c r="K39" s="3" t="str">
        <x:v>Link in bio or relevant DM reply</x:v>
      </x:c>
      <x:c r="L39" s="3" t="str">
        <x:v>https://elan-tech.net/contact/?utm_source=instagram&amp;utm_medium=social&amp;utm_campaign=q4_2026_websites&amp;utm_content=d09</x:v>
      </x:c>
      <x:c r="M39" s="3" t="str">
        <x:v>Feed carousel</x:v>
      </x:c>
      <x:c r="N39" s="3" t="str">
        <x:v>COVER: What should work better for your business next year?
SLIDE 2: Make introductions easier
SLIDE 3: Explain services more clearly
SLIDE 4: Improve the shopping journey
SLIDE 5: Choose one priority
SLIDE 6: Plan the next step around it
CLOSING: Tell us your 2027 priority</x:v>
      </x:c>
      <x:c r="O39" s="3" t="str">
        <x:v>Three distinct rectangular panels: introduction, business website, commerce. Original icons and sample layouts. Keep subscription product and development services separate. Keep headline, logo and captions away from interface overlays.</x:v>
      </x:c>
      <x:c r="P39" s="3" t="str">
        <x:v>1080 × 1350 px</x:v>
      </x:c>
      <x:c r="Q39" s="3" t="str">
        <x:v>What should work better for your business next year?. Make introductions easier. Explain services more clearly. Improve the shopping journey. Original illustrative graphic by eLan Technology.</x:v>
      </x:c>
      <x:c r="R39" s="3" t="str">
        <x:v>Standard approval No client assets or testimonials. No paid promotion. Test the destination and mobile contact journey. Update and test the profile link before using the caption CTA.</x:v>
      </x:c>
      <x:c r="S39" s="23" t="str">
        <x:v>☐</x:v>
      </x:c>
      <x:c r="T39" s="23" t="str">
        <x:v>☐</x:v>
      </x:c>
      <x:c r="U39" s="23" t="str">
        <x:v>☐</x:v>
      </x:c>
      <x:c r="V39" s="24"/>
      <x:c r="W39" s="22" t="str"/>
      <x:c r="X39" s="26"/>
      <x:c r="Y39" s="26"/>
      <x:c r="Z39" s="26"/>
      <x:c r="AA39" s="22" t="str"/>
      <x:c r="AB39" s="22" t="str"/>
    </x:row>
    <x:row r="40" ht="260" customHeight="1">
      <x:c r="A40" s="23" t="str">
        <x:v>☐</x:v>
      </x:c>
      <x:c r="B40" s="24" t="n">
        <x:v>46387</x:v>
      </x:c>
      <x:c r="C40" s="25" t="n">
        <x:v>0.7916666666666666</x:v>
      </x:c>
      <x:c r="D40" s="15" t="str">
        <x:v>D10</x:v>
      </x:c>
      <x:c r="E40" s="15" t="str">
        <x:v>Core</x:v>
      </x:c>
      <x:c r="F40" s="22" t="str">
        <x:v>Draft</x:v>
      </x:c>
      <x:c r="G40" s="22" t="str"/>
      <x:c r="H40" s="15" t="str">
        <x:v>Thank you for being part of our year</x:v>
      </x:c>
      <x:c r="I40" s="15" t="str">
        <x:v>Thank you for being part of our year.
• Thank you for being part of our year
• Here is to thoughtful work and clear communication
• Wishing you a happy 2027
• From eLan Technology
Warm wishes from eLan Technology.</x:v>
      </x:c>
      <x:c r="J40" s="15" t="str">
        <x:v>#eLanTechnology</x:v>
      </x:c>
      <x:c r="K40" s="15" t="str">
        <x:v>No sales CTA</x:v>
      </x:c>
      <x:c r="L40" s="15" t="str"/>
      <x:c r="M40" s="15" t="str">
        <x:v>Captioned Reel</x:v>
      </x:c>
      <x:c r="N40" s="15" t="str">
        <x:v>COVER: Thank you for being part of our year
SLIDE 2: Thank you for being part of our year
SLIDE 3: Here is to thoughtful work and clear communication
SLIDE 4: Wishing you a happy 2027
SLIDE 5: From eLan Technology
CLOSING: No sales CTA</x:v>
      </x:c>
      <x:c r="O40" s="15" t="str">
        <x:v>20-second genuine founder thank-you, or a clean typographic animation. No client montage, invented annual totals or unapproved team claims. Keep headline, logo and captions away from interface overlays.</x:v>
      </x:c>
      <x:c r="P40" s="15" t="str">
        <x:v>1080 × 1920 px</x:v>
      </x:c>
      <x:c r="Q40" s="15" t="str">
        <x:v>Thank you for being part of our year. Thank you for being part of our year. Here is to thoughtful work and clear communication. Wishing you a happy 2027. Original illustrative graphic by eLan Technology.</x:v>
      </x:c>
      <x:c r="R40" s="15" t="str">
        <x:v>Standard approval No client assets or testimonials. No paid promotion. Test the destination and mobile contact journey. Update and test the profile link before using the caption CTA.</x:v>
      </x:c>
      <x:c r="S40" s="23" t="str">
        <x:v>☐</x:v>
      </x:c>
      <x:c r="T40" s="23" t="str">
        <x:v>☐</x:v>
      </x:c>
      <x:c r="U40" s="23" t="str">
        <x:v>☐</x:v>
      </x:c>
      <x:c r="V40" s="24"/>
      <x:c r="W40" s="22" t="str"/>
      <x:c r="X40" s="26"/>
      <x:c r="Y40" s="26"/>
      <x:c r="Z40" s="26"/>
      <x:c r="AA40" s="22" t="str"/>
      <x:c r="AB40" s="22" t="str"/>
    </x:row>
  </x:sheetData>
  <x:conditionalFormatting sqref="A6:A40">
    <x:cfRule type="cellIs" dxfId="2" priority="1" operator="equal">
      <x:formula>"✓"</x:formula>
    </x:cfRule>
  </x:conditionalFormatting>
  <x:conditionalFormatting sqref="S6:U40">
    <x:cfRule type="cellIs" dxfId="3" priority="2" operator="equal">
      <x:formula>"✓"</x:formula>
    </x:cfRule>
  </x:conditionalFormatting>
  <x:dataValidations count="4">
    <x:dataValidation type="list" sqref="A6:A40">
      <x:formula1>"☐,✓,N/A"</x:formula1>
    </x:dataValidation>
    <x:dataValidation type="list" sqref="S6:U40">
      <x:formula1>"☐,✓"</x:formula1>
    </x:dataValidation>
    <x:dataValidation type="list" sqref="F6:F40">
      <x:formula1>"Draft,In production,Ready,Scheduled,Published,Hold,Skipped"</x:formula1>
    </x:dataValidation>
    <x:dataValidation type="list" sqref="E6:E40">
      <x:formula1>"Core,Conditional,Optional"</x:formula1>
    </x:dataValidation>
  </x:dataValidations>
  <x:pageMargins left="0.7" right="0.7" top="0.75" bottom="0.75" header="0.3" footer="0.3"/>
  <x:tableParts count="1">
    <x:tablePart xmlns:r="http://schemas.openxmlformats.org/officeDocument/2006/relationships" r:id="R8ef16f643c2c4e1d"/>
  </x:tableParts>
</x:worksheet>
</file>

<file path=xl/worksheets/sheet4.xml><?xml version="1.0" encoding="utf-8"?>
<x:worksheet xmlns:x="http://schemas.openxmlformats.org/spreadsheetml/2006/main">
  <x:sheetPr>
    <x:tabColor rgb="FF173C65"/>
  </x:sheetPr>
  <x:sheetViews>
    <x:sheetView showGridLines="0" workbookViewId="0">
      <x:pane xSplit="4" ySplit="5" topLeftCell="E6" activePane="bottomRight" state="frozen"/>
    </x:sheetView>
  </x:sheetViews>
  <x:sheetFormatPr defaultRowHeight="15"/>
  <x:cols>
    <x:col min="1" max="1" width="12" hidden="0" customWidth="1"/>
    <x:col min="2" max="2" width="15" hidden="0" customWidth="1"/>
    <x:col min="3" max="3" width="12" hidden="0" customWidth="1"/>
    <x:col min="4" max="4" width="11" hidden="0" customWidth="1"/>
    <x:col min="5" max="5" width="14" hidden="0" customWidth="1"/>
    <x:col min="6" max="6" width="15" hidden="0" customWidth="1"/>
    <x:col min="7" max="7" width="18" hidden="0" customWidth="1"/>
    <x:col min="8" max="8" width="39" hidden="0" customWidth="1"/>
    <x:col min="9" max="9" width="83" hidden="0" customWidth="1"/>
    <x:col min="10" max="10" width="30" hidden="0" customWidth="1"/>
    <x:col min="11" max="11" width="28" hidden="0" customWidth="1"/>
    <x:col min="12" max="12" width="48" hidden="0" customWidth="1"/>
    <x:col min="13" max="13" width="23" hidden="0" customWidth="1"/>
    <x:col min="14" max="14" width="63" hidden="0" customWidth="1"/>
    <x:col min="15" max="15" width="65" hidden="0" customWidth="1"/>
    <x:col min="16" max="16" width="22" hidden="0" customWidth="1"/>
    <x:col min="17" max="17" width="60" hidden="0" customWidth="1"/>
    <x:col min="18" max="18" width="64" hidden="0" customWidth="1"/>
    <x:col min="19" max="19" width="13" hidden="0" customWidth="1"/>
    <x:col min="20" max="20" width="13" hidden="0" customWidth="1"/>
    <x:col min="21" max="21" width="13" hidden="0" customWidth="1"/>
    <x:col min="22" max="22" width="15" hidden="0" customWidth="1"/>
    <x:col min="23" max="23" width="44" hidden="0" customWidth="1"/>
    <x:col min="24" max="24" width="15" hidden="0" customWidth="1"/>
    <x:col min="25" max="25" width="15" hidden="0" customWidth="1"/>
    <x:col min="26" max="26" width="18" hidden="0" customWidth="1"/>
    <x:col min="27" max="27" width="40" hidden="0" customWidth="1"/>
    <x:col min="28" max="28" width="65" hidden="0" customWidth="1"/>
  </x:cols>
  <x:sheetData>
    <x:row r="1" ht="28" customHeight="1">
      <x:c r="A1" s="5" t="str">
        <x:v>LinkedIn calendar</x:v>
      </x:c>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22" customHeight="1">
      <x:c r="A2" s="7" t="str">
        <x:v>11 September–31 December 2026. Tick Published only after it is live. Amber cells are tracking inputs. Scroll right for complete copy and visuals.</x:v>
      </x:c>
      <x:c r="B2" s="3"/>
      <x:c r="C2" s="3"/>
      <x:c r="D2" s="3"/>
      <x:c r="E2" s="3"/>
      <x:c r="F2" s="3"/>
      <x:c r="G2" s="3"/>
      <x:c r="H2" s="3"/>
      <x:c r="I2" s="3"/>
      <x:c r="J2" s="3"/>
      <x:c r="K2" s="3"/>
      <x:c r="L2" s="3"/>
      <x:c r="M2" s="3"/>
      <x:c r="N2" s="3"/>
      <x:c r="O2" s="3"/>
      <x:c r="P2" s="3"/>
      <x:c r="Q2" s="3"/>
      <x:c r="R2" s="3"/>
      <x:c r="S2" s="3"/>
      <x:c r="T2" s="3"/>
      <x:c r="U2" s="3"/>
      <x:c r="V2" s="3"/>
      <x:c r="W2" s="3"/>
      <x:c r="X2" s="3"/>
      <x:c r="Y2" s="3"/>
      <x:c r="Z2" s="3"/>
      <x:c r="AA2" s="3"/>
      <x:c r="AB2" s="3"/>
    </x:row>
    <x:row r="3">
      <x:c r="A3" s="8"/>
      <x:c r="B3" s="8"/>
      <x:c r="C3" s="8"/>
      <x:c r="D3" s="8"/>
      <x:c r="E3" s="8"/>
      <x:c r="F3" s="8"/>
      <x:c r="G3" s="8"/>
      <x:c r="H3" s="8"/>
      <x:c r="I3" s="8"/>
      <x:c r="J3" s="8"/>
      <x:c r="K3" s="8"/>
      <x:c r="L3" s="8"/>
      <x:c r="M3" s="8"/>
      <x:c r="N3" s="8"/>
      <x:c r="O3" s="8"/>
      <x:c r="P3" s="8"/>
      <x:c r="Q3" s="8"/>
      <x:c r="R3" s="8"/>
      <x:c r="S3" s="8"/>
      <x:c r="T3" s="8"/>
      <x:c r="U3" s="8"/>
      <x:c r="V3" s="8"/>
      <x:c r="W3" s="8"/>
      <x:c r="X3" s="8"/>
      <x:c r="Y3" s="8"/>
      <x:c r="Z3" s="8"/>
      <x:c r="AA3" s="8"/>
      <x:c r="AB3" s="8"/>
    </x:row>
    <x:row r="4">
      <x:c r="A4" s="3"/>
      <x:c r="B4" s="3"/>
      <x:c r="C4" s="3"/>
      <x:c r="D4" s="3"/>
      <x:c r="E4" s="3"/>
      <x:c r="F4" s="3"/>
      <x:c r="G4" s="3"/>
      <x:c r="H4" s="3"/>
      <x:c r="I4" s="3"/>
      <x:c r="J4" s="3"/>
      <x:c r="K4" s="3"/>
      <x:c r="L4" s="3"/>
      <x:c r="M4" s="3"/>
      <x:c r="N4" s="3"/>
      <x:c r="O4" s="3"/>
      <x:c r="P4" s="3"/>
      <x:c r="Q4" s="3"/>
      <x:c r="R4" s="3"/>
      <x:c r="S4" s="3"/>
      <x:c r="T4" s="3"/>
      <x:c r="U4" s="3"/>
      <x:c r="V4" s="3"/>
      <x:c r="W4" s="3"/>
      <x:c r="X4" s="3"/>
      <x:c r="Y4" s="3"/>
      <x:c r="Z4" s="3"/>
      <x:c r="AA4" s="3"/>
      <x:c r="AB4" s="3"/>
    </x:row>
    <x:row r="5" ht="36" customHeight="1">
      <x:c r="A5" s="12" t="str">
        <x:v>Published</x:v>
      </x:c>
      <x:c r="B5" s="13" t="str">
        <x:v>Planned date</x:v>
      </x:c>
      <x:c r="C5" s="13" t="str">
        <x:v>Time IST</x:v>
      </x:c>
      <x:c r="D5" s="13" t="str">
        <x:v>Post ID</x:v>
      </x:c>
      <x:c r="E5" s="13" t="str">
        <x:v>Priority</x:v>
      </x:c>
      <x:c r="F5" s="13" t="str">
        <x:v>Workflow</x:v>
      </x:c>
      <x:c r="G5" s="13" t="str">
        <x:v>Owner</x:v>
      </x:c>
      <x:c r="H5" s="13" t="str">
        <x:v>Post heading</x:v>
      </x:c>
      <x:c r="I5" s="13" t="str">
        <x:v>Full caption / Status text</x:v>
      </x:c>
      <x:c r="J5" s="13" t="str">
        <x:v>Hashtags</x:v>
      </x:c>
      <x:c r="K5" s="13" t="str">
        <x:v>Call to action</x:v>
      </x:c>
      <x:c r="L5" s="13" t="str">
        <x:v>Destination URL</x:v>
      </x:c>
      <x:c r="M5" s="13" t="str">
        <x:v>Format</x:v>
      </x:c>
      <x:c r="N5" s="13" t="str">
        <x:v>On-artwork text / slides</x:v>
      </x:c>
      <x:c r="O5" s="13" t="str">
        <x:v>Graphic / video direction</x:v>
      </x:c>
      <x:c r="P5" s="13" t="str">
        <x:v>Canvas size</x:v>
      </x:c>
      <x:c r="Q5" s="13" t="str">
        <x:v>Suggested alt text</x:v>
      </x:c>
      <x:c r="R5" s="13" t="str">
        <x:v>Before publishing</x:v>
      </x:c>
      <x:c r="S5" s="13" t="str">
        <x:v>Copy approved</x:v>
      </x:c>
      <x:c r="T5" s="13" t="str">
        <x:v>Asset ready</x:v>
      </x:c>
      <x:c r="U5" s="13" t="str">
        <x:v>Link tested</x:v>
      </x:c>
      <x:c r="V5" s="13" t="str">
        <x:v>Actual date</x:v>
      </x:c>
      <x:c r="W5" s="13" t="str">
        <x:v>Published URL</x:v>
      </x:c>
      <x:c r="X5" s="13" t="str">
        <x:v>Reach / views</x:v>
      </x:c>
      <x:c r="Y5" s="13" t="str">
        <x:v>Link clicks</x:v>
      </x:c>
      <x:c r="Z5" s="13" t="str">
        <x:v>Qualified enquiries</x:v>
      </x:c>
      <x:c r="AA5" s="13" t="str">
        <x:v>Notes</x:v>
      </x:c>
      <x:c r="AB5" s="14" t="str">
        <x:v>Fallback caption</x:v>
      </x:c>
    </x:row>
    <x:row r="6" ht="260" customHeight="1">
      <x:c r="A6" s="23" t="str">
        <x:v>☐</x:v>
      </x:c>
      <x:c r="B6" s="24" t="n">
        <x:v>46276</x:v>
      </x:c>
      <x:c r="C6" s="25" t="n">
        <x:v>0.4166666666666667</x:v>
      </x:c>
      <x:c r="D6" s="15" t="str">
        <x:v>S01</x:v>
      </x:c>
      <x:c r="E6" s="15" t="str">
        <x:v>Core</x:v>
      </x:c>
      <x:c r="F6" s="22" t="str">
        <x:v>Draft</x:v>
      </x:c>
      <x:c r="G6" s="22" t="str"/>
      <x:c r="H6" s="15" t="str">
        <x:v>A fresh start for your business online</x:v>
      </x:c>
      <x:c r="I6" s="15" t="str">
        <x:v>A website proposal should make the buying decision easier. Our September Digital Launchpad offer has one price: ₹32,000 + GST. Before you commit, review the deliverables, exclusions, payment terms and ongoing costs. Bookings open 14 September and close 25 September 2026.
Request the offer details: https://elan-tech.net/pricing/digital-launchpad/?utm_source=linkedin&amp;utm_medium=social&amp;utm_campaign=q4_2026_launchpad&amp;utm_content=s01</x:v>
      </x:c>
      <x:c r="J6" s="15" t="str">
        <x:v>#BusinessWebsite #NagpurBusiness #eLanTechnology</x:v>
      </x:c>
      <x:c r="K6" s="15" t="str">
        <x:v>Request the offer details</x:v>
      </x:c>
      <x:c r="L6" s="15" t="str">
        <x:v>https://elan-tech.net/pricing/digital-launchpad/?utm_source=linkedin&amp;utm_medium=social&amp;utm_campaign=q4_2026_launchpad&amp;utm_content=s01</x:v>
      </x:c>
      <x:c r="M6" s="15" t="str">
        <x:v>Document carousel (PDF)</x:v>
      </x:c>
      <x:c r="N6" s="15" t="str">
        <x:v>COVER: A fresh start for your business online
SLIDE 2: Digital Launchpad opens 14 September
SLIDE 3: One plan: ₹32,000 + GST
SLIDE 4: Bookings: 14–25 September 2026
SLIDE 5: Ask for the written scope before booking
CLOSING: Request the offer details</x:v>
      </x:c>
      <x:c r="O6" s="15" t="str">
        <x:v>Cream background, orange date strip and blue headline. Build an original desktop-and-phone wireframe, clearly labelled Sample layout. No client screens. Keep + GST as prominent as the price. Keep diagrams readable in a document preview.</x:v>
      </x:c>
      <x:c r="P6" s="15" t="str">
        <x:v>1080 × 1350 px</x:v>
      </x:c>
      <x:c r="Q6" s="15" t="str">
        <x:v>A fresh start for your business online. Digital Launchpad opens 14 September. One plan: ₹32,000 + GST. Bookings: 14–25 September 2026. Digital Launchpad costs ₹32,000 plus GST, with bookings from 14 to 25 September 2026. Original illustrative graphic by eLan Technology.</x:v>
      </x:c>
      <x:c r="R6" s="15" t="str">
        <x:v>Approve final scope and offer landing page before publication No client assets or testimonials. No paid promotion. Test the destination and mobile contact journey.</x:v>
      </x:c>
      <x:c r="S6" s="23" t="str">
        <x:v>☐</x:v>
      </x:c>
      <x:c r="T6" s="23" t="str">
        <x:v>☐</x:v>
      </x:c>
      <x:c r="U6" s="23" t="str">
        <x:v>☐</x:v>
      </x:c>
      <x:c r="V6" s="24"/>
      <x:c r="W6" s="22" t="str"/>
      <x:c r="X6" s="26"/>
      <x:c r="Y6" s="26"/>
      <x:c r="Z6" s="26"/>
      <x:c r="AA6" s="22" t="str"/>
      <x:c r="AB6" s="22" t="str"/>
    </x:row>
    <x:row r="7" ht="260" customHeight="1">
      <x:c r="A7" s="23" t="str">
        <x:v>☐</x:v>
      </x:c>
      <x:c r="B7" s="24" t="n">
        <x:v>46279</x:v>
      </x:c>
      <x:c r="C7" s="25" t="n">
        <x:v>0.4166666666666667</x:v>
      </x:c>
      <x:c r="D7" s="3" t="str">
        <x:v>S02</x:v>
      </x:c>
      <x:c r="E7" s="3" t="str">
        <x:v>Core</x:v>
      </x:c>
      <x:c r="F7" s="22" t="str">
        <x:v>Draft</x:v>
      </x:c>
      <x:c r="G7" s="22" t="str"/>
      <x:c r="H7" s="3" t="str">
        <x:v>Digital Launchpad is open: ₹32,000 + GST</x:v>
      </x:c>
      <x:c r="I7" s="3" t="str">
        <x:v>Digital Launchpad is now open for bookings. One business-website plan, ₹32,000 + GST, from 14 to 25 September 2026. Start with your requirements, then compare them with the written package scope. Any work outside that scope should be agreed separately before the project begins.
Request this offer: https://elan-tech.net/pricing/digital-launchpad/?utm_source=linkedin&amp;utm_medium=social&amp;utm_campaign=q4_2026_launchpad&amp;utm_content=s02</x:v>
      </x:c>
      <x:c r="J7" s="3" t="str">
        <x:v>#BusinessWebsite #NagpurBusiness #eLanTechnology</x:v>
      </x:c>
      <x:c r="K7" s="3" t="str">
        <x:v>Request this offer</x:v>
      </x:c>
      <x:c r="L7" s="3" t="str">
        <x:v>https://elan-tech.net/pricing/digital-launchpad/?utm_source=linkedin&amp;utm_medium=social&amp;utm_campaign=q4_2026_launchpad&amp;utm_content=s02</x:v>
      </x:c>
      <x:c r="M7" s="3" t="str">
        <x:v>Document carousel (PDF)</x:v>
      </x:c>
      <x:c r="N7" s="3" t="str">
        <x:v>COVER: Digital Launchpad is open: ₹32,000 + GST
SLIDE 2: Digital Launchpad is now open
SLIDE 3: ₹32,000 + GST
SLIDE 4: 14–25 September 2026
SLIDE 5: Check scope and terms
SLIDE 6: Request the offer details
CLOSING: Request this offer</x:v>
      </x:c>
      <x:c r="O7" s="3" t="str">
        <x:v>Price-led poster with a clean rectangular sample browser. Large ₹32,000, visible + GST beside it, booking dates below. Avoid a long feature list until inclusions are approved. Keep diagrams readable in a document preview.</x:v>
      </x:c>
      <x:c r="P7" s="3" t="str">
        <x:v>1080 × 1350 px</x:v>
      </x:c>
      <x:c r="Q7" s="3" t="str">
        <x:v>Digital Launchpad is open: ₹32,000 + GST. Digital Launchpad is now open. ₹32,000 + GST. 14–25 September 2026. Digital Launchpad costs ₹32,000 plus GST, with bookings from 14 to 25 September 2026. Original illustrative graphic by eLan Technology.</x:v>
      </x:c>
      <x:c r="R7" s="3" t="str">
        <x:v>Approve scope, payment terms and offer page; GBP Offer ends 25 September 2026 No client assets or testimonials. No paid promotion. Test the destination and mobile contact journey.</x:v>
      </x:c>
      <x:c r="S7" s="23" t="str">
        <x:v>☐</x:v>
      </x:c>
      <x:c r="T7" s="23" t="str">
        <x:v>☐</x:v>
      </x:c>
      <x:c r="U7" s="23" t="str">
        <x:v>☐</x:v>
      </x:c>
      <x:c r="V7" s="24"/>
      <x:c r="W7" s="22" t="str"/>
      <x:c r="X7" s="26"/>
      <x:c r="Y7" s="26"/>
      <x:c r="Z7" s="26"/>
      <x:c r="AA7" s="22" t="str"/>
      <x:c r="AB7" s="22" t="str"/>
    </x:row>
    <x:row r="8" ht="260" customHeight="1">
      <x:c r="A8" s="23" t="str">
        <x:v>☐</x:v>
      </x:c>
      <x:c r="B8" s="24" t="n">
        <x:v>46281</x:v>
      </x:c>
      <x:c r="C8" s="25" t="n">
        <x:v>0.4166666666666667</x:v>
      </x:c>
      <x:c r="D8" s="15" t="str">
        <x:v>S03</x:v>
      </x:c>
      <x:c r="E8" s="15" t="str">
        <x:v>Core</x:v>
      </x:c>
      <x:c r="F8" s="22" t="str">
        <x:v>Draft</x:v>
      </x:c>
      <x:c r="G8" s="22" t="str"/>
      <x:c r="H8" s="15" t="str">
        <x:v>Before booking, know what is included</x:v>
      </x:c>
      <x:c r="I8" s="15" t="str">
        <x:v>Price alone is not enough to compare two website proposals. Check the pages and functions, who supplies content, revision rounds, hosting term, support and exclusions. For Digital Launchpad, the price is ₹32,000 + GST. We recommend reviewing the written scope before booking. The offer closes on 25 September 2026.
Ask for the package scope: https://elan-tech.net/pricing/digital-launchpad/?utm_source=linkedin&amp;utm_medium=social&amp;utm_campaign=q4_2026_launchpad&amp;utm_content=s03</x:v>
      </x:c>
      <x:c r="J8" s="15" t="str">
        <x:v>#BusinessWebsite #NagpurBusiness #eLanTechnology</x:v>
      </x:c>
      <x:c r="K8" s="15" t="str">
        <x:v>Ask for the package scope</x:v>
      </x:c>
      <x:c r="L8" s="15" t="str">
        <x:v>https://elan-tech.net/pricing/digital-launchpad/?utm_source=linkedin&amp;utm_medium=social&amp;utm_campaign=q4_2026_launchpad&amp;utm_content=s03</x:v>
      </x:c>
      <x:c r="M8" s="15" t="str">
        <x:v>Document carousel (PDF)</x:v>
      </x:c>
      <x:c r="N8" s="15" t="str">
        <x:v>COVER: Before booking, know what is included
SLIDE 2: What does the package cover?
SLIDE 3: Check pages, content and revisions
SLIDE 4: Check hosting and ongoing support
SLIDE 5: Confirm exclusions and payment terms
SLIDE 6: Digital Launchpad: ₹32,000 + GST, until 25 September
CLOSING: Ask for the package scope</x:v>
      </x:c>
      <x:c r="O8" s="15" t="str">
        <x:v>Five-slide checklist. Each slide asks one scope question. Use outlined page, pencil, server and document symbols. Do not portray a question as an included feature. Keep diagrams readable in a document preview.</x:v>
      </x:c>
      <x:c r="P8" s="15" t="str">
        <x:v>1080 × 1350 px</x:v>
      </x:c>
      <x:c r="Q8" s="15" t="str">
        <x:v>Before booking, know what is included. What does the package cover?. Check pages, content and revisions. Check hosting and ongoing support. Digital Launchpad costs ₹32,000 plus GST, with bookings from 14 to 25 September 2026. Original illustrative graphic by eLan Technology.</x:v>
      </x:c>
      <x:c r="R8" s="15" t="str">
        <x:v>Written scope must be approved; do not insert unconfirmed inclusions No client assets or testimonials. No paid promotion. Test the destination and mobile contact journey.</x:v>
      </x:c>
      <x:c r="S8" s="23" t="str">
        <x:v>☐</x:v>
      </x:c>
      <x:c r="T8" s="23" t="str">
        <x:v>☐</x:v>
      </x:c>
      <x:c r="U8" s="23" t="str">
        <x:v>☐</x:v>
      </x:c>
      <x:c r="V8" s="24"/>
      <x:c r="W8" s="22" t="str"/>
      <x:c r="X8" s="26"/>
      <x:c r="Y8" s="26"/>
      <x:c r="Z8" s="26"/>
      <x:c r="AA8" s="22" t="str"/>
      <x:c r="AB8" s="22" t="str"/>
    </x:row>
    <x:row r="9" ht="260" customHeight="1">
      <x:c r="A9" s="23" t="str">
        <x:v>☐</x:v>
      </x:c>
      <x:c r="B9" s="24" t="n">
        <x:v>46283</x:v>
      </x:c>
      <x:c r="C9" s="25" t="n">
        <x:v>0.4166666666666667</x:v>
      </x:c>
      <x:c r="D9" s="3" t="str">
        <x:v>S04</x:v>
      </x:c>
      <x:c r="E9" s="3" t="str">
        <x:v>Core</x:v>
      </x:c>
      <x:c r="F9" s="22" t="str">
        <x:v>Draft</x:v>
      </x:c>
      <x:c r="G9" s="22" t="str"/>
      <x:c r="H9" s="3" t="str">
        <x:v>Make it easy for visitors to enquire</x:v>
      </x:c>
      <x:c r="I9" s="3" t="str">
        <x:v>A business website needs a clear route from interest to enquiry. In this demonstration, we look at service information, mobile navigation and the enquiry journey. These are design considerations, not a promise that every function is included in a fixed-price package. Digital Launchpad bookings are open at ₹32,000 + GST until 25 September 2026. Check the agreed scope first.
Request the offer details: https://elan-tech.net/pricing/digital-launchpad/?utm_source=linkedin&amp;utm_medium=social&amp;utm_campaign=q4_2026_launchpad&amp;utm_content=s04</x:v>
      </x:c>
      <x:c r="J9" s="3" t="str">
        <x:v>#BusinessWebsite #NagpurBusiness #eLanTechnology</x:v>
      </x:c>
      <x:c r="K9" s="3" t="str">
        <x:v>Request the offer details</x:v>
      </x:c>
      <x:c r="L9" s="3" t="str">
        <x:v>https://elan-tech.net/pricing/digital-launchpad/?utm_source=linkedin&amp;utm_medium=social&amp;utm_campaign=q4_2026_launchpad&amp;utm_content=s04</x:v>
      </x:c>
      <x:c r="M9" s="3" t="str">
        <x:v>Captioned native video</x:v>
      </x:c>
      <x:c r="N9" s="3" t="str">
        <x:v>COVER: Make it easy for visitors to enquire
SLIDE 2: Can visitors understand your service?
SLIDE 3: Can they find contact options on mobile?
SLIDE 4: Does the enquiry reach your inbox?
SLIDE 5: Demonstration, not a client website
SLIDE 6: Ask about Launchpad: ₹32,000 + GST
CLOSING: Request the offer details</x:v>
      </x:c>
      <x:c r="O9" s="3" t="str">
        <x:v>25-second screen recording of an original sample site. Show service, contact route and a sandbox form confirmation. Persistent Demonstration label. Never show a real lead or inbox. Keep diagrams readable in a document preview.</x:v>
      </x:c>
      <x:c r="P9" s="3" t="str">
        <x:v>1080 × 1920 px</x:v>
      </x:c>
      <x:c r="Q9" s="3" t="str">
        <x:v>Make it easy for visitors to enquire. Can visitors understand your service?. Can they find contact options on mobile?. Does the enquiry reach your inbox?. Digital Launchpad costs ₹32,000 plus GST, with bookings from 14 to 25 September 2026. Original illustrative graphic by eLan Technology.</x:v>
      </x:c>
      <x:c r="R9" s="3" t="str">
        <x:v>Test the demo; approve offer scope; no claim of guaranteed enquiries No client assets or testimonials. No paid promotion. Test the destination and mobile contact journey.</x:v>
      </x:c>
      <x:c r="S9" s="23" t="str">
        <x:v>☐</x:v>
      </x:c>
      <x:c r="T9" s="23" t="str">
        <x:v>☐</x:v>
      </x:c>
      <x:c r="U9" s="23" t="str">
        <x:v>☐</x:v>
      </x:c>
      <x:c r="V9" s="24"/>
      <x:c r="W9" s="22" t="str"/>
      <x:c r="X9" s="26"/>
      <x:c r="Y9" s="26"/>
      <x:c r="Z9" s="26"/>
      <x:c r="AA9" s="22" t="str"/>
      <x:c r="AB9" s="22" t="str"/>
    </x:row>
    <x:row r="10" ht="260" customHeight="1">
      <x:c r="A10" s="23" t="str">
        <x:v>☐</x:v>
      </x:c>
      <x:c r="B10" s="24" t="n">
        <x:v>46286</x:v>
      </x:c>
      <x:c r="C10" s="25" t="n">
        <x:v>0.4166666666666667</x:v>
      </x:c>
      <x:c r="D10" s="15" t="str">
        <x:v>S05</x:v>
      </x:c>
      <x:c r="E10" s="15" t="str">
        <x:v>Core</x:v>
      </x:c>
      <x:c r="F10" s="22" t="str">
        <x:v>Draft</x:v>
      </x:c>
      <x:c r="G10" s="22" t="str"/>
      <x:c r="H10" s="15" t="str">
        <x:v>Five questions before you book a website</x:v>
      </x:c>
      <x:c r="I10" s="15" t="str">
        <x:v>A clear website brief prevents avoidable misunderstandings. Discuss content responsibility, revisions, renewal costs, handover and delivery dependencies before work starts. Source-code and ownership terms should be written into the proposal, not assumed. Digital Launchpad is available for booking until 25 September 2026 at ₹32,000 + GST.
Discuss your website requirements: https://elan-tech.net/pricing/digital-launchpad/?utm_source=linkedin&amp;utm_medium=social&amp;utm_campaign=q4_2026_launchpad&amp;utm_content=s05</x:v>
      </x:c>
      <x:c r="J10" s="15" t="str">
        <x:v>#BusinessWebsite #NagpurBusiness #eLanTechnology</x:v>
      </x:c>
      <x:c r="K10" s="15" t="str">
        <x:v>Discuss your website requirements</x:v>
      </x:c>
      <x:c r="L10" s="15" t="str">
        <x:v>https://elan-tech.net/pricing/digital-launchpad/?utm_source=linkedin&amp;utm_medium=social&amp;utm_campaign=q4_2026_launchpad&amp;utm_content=s05</x:v>
      </x:c>
      <x:c r="M10" s="15" t="str">
        <x:v>Document carousel (PDF)</x:v>
      </x:c>
      <x:c r="N10" s="15" t="str">
        <x:v>COVER: Five questions before you book a website
SLIDE 2: Who provides the content?
SLIDE 3: How many revisions are agreed?
SLIDE 4: Which costs renew?
SLIDE 5: What is handed over?
SLIDE 6: What affects the delivery date?
CLOSING: Discuss your website requirements</x:v>
      </x:c>
      <x:c r="O10" s="15" t="str">
        <x:v>Five numbered rectangular question cards, with a sixth closing panel. Blue type on white, restrained orange number blocks. Put the offer only on the closing slide. Keep diagrams readable in a document preview.</x:v>
      </x:c>
      <x:c r="P10" s="15" t="str">
        <x:v>1080 × 1350 px</x:v>
      </x:c>
      <x:c r="Q10" s="15" t="str">
        <x:v>Five questions before you book a website. Who provides the content?. How many revisions are agreed?. Which costs renew?. Digital Launchpad costs ₹32,000 plus GST, with bookings from 14 to 25 September 2026. Original illustrative graphic by eLan Technology.</x:v>
      </x:c>
      <x:c r="R10" s="15" t="str">
        <x:v>Confirm contractual wording and offer scope No client assets or testimonials. No paid promotion. Test the destination and mobile contact journey.</x:v>
      </x:c>
      <x:c r="S10" s="23" t="str">
        <x:v>☐</x:v>
      </x:c>
      <x:c r="T10" s="23" t="str">
        <x:v>☐</x:v>
      </x:c>
      <x:c r="U10" s="23" t="str">
        <x:v>☐</x:v>
      </x:c>
      <x:c r="V10" s="24"/>
      <x:c r="W10" s="22" t="str"/>
      <x:c r="X10" s="26"/>
      <x:c r="Y10" s="26"/>
      <x:c r="Z10" s="26"/>
      <x:c r="AA10" s="22" t="str"/>
      <x:c r="AB10" s="22" t="str"/>
    </x:row>
    <x:row r="11" ht="260" customHeight="1">
      <x:c r="A11" s="23" t="str">
        <x:v>☐</x:v>
      </x:c>
      <x:c r="B11" s="24" t="n">
        <x:v>46288</x:v>
      </x:c>
      <x:c r="C11" s="25" t="n">
        <x:v>0.4166666666666667</x:v>
      </x:c>
      <x:c r="D11" s="3" t="str">
        <x:v>S06</x:v>
      </x:c>
      <x:c r="E11" s="3" t="str">
        <x:v>Core</x:v>
      </x:c>
      <x:c r="F11" s="22" t="str">
        <x:v>Draft</x:v>
      </x:c>
      <x:c r="G11" s="22" t="str"/>
      <x:c r="H11" s="3" t="str">
        <x:v>Your Launchpad questions, answered</x:v>
      </x:c>
      <x:c r="I11" s="3" t="str">
        <x:v>The useful question is whether the package fits your requirements. Tell us your main customer action, content readiness and support needs. We will discuss the scope before a booking decision. Digital Launchpad is ₹32,000 + GST, with bookings closing on 25 September 2026. Additional requirements need a separate agreement.
Ask about the offer: https://elan-tech.net/pricing/digital-launchpad/?utm_source=linkedin&amp;utm_medium=social&amp;utm_campaign=q4_2026_launchpad&amp;utm_content=s06</x:v>
      </x:c>
      <x:c r="J11" s="3" t="str">
        <x:v>#BusinessWebsite #NagpurBusiness #eLanTechnology</x:v>
      </x:c>
      <x:c r="K11" s="3" t="str">
        <x:v>Ask about the offer</x:v>
      </x:c>
      <x:c r="L11" s="3" t="str">
        <x:v>https://elan-tech.net/pricing/digital-launchpad/?utm_source=linkedin&amp;utm_medium=social&amp;utm_campaign=q4_2026_launchpad&amp;utm_content=s06</x:v>
      </x:c>
      <x:c r="M11" s="3" t="str">
        <x:v>Captioned native video</x:v>
      </x:c>
      <x:c r="N11" s="3" t="str">
        <x:v>COVER: Your Launchpad questions, answered
SLIDE 2: What should the website help people do?
SLIDE 3: What content is ready?
SLIDE 4: What support will you need?
SLIDE 5: Check the written scope
SLIDE 6: ₹32,000 + GST; bookings close 25 September
CLOSING: Ask about the offer</x:v>
      </x:c>
      <x:c r="O11" s="3" t="str">
        <x:v>Founder video, 25–35 seconds, bright uncluttered setting. Add three question captions and a final date/price card. Say Common questions, not You asked, unless questions were received. Keep diagrams readable in a document preview.</x:v>
      </x:c>
      <x:c r="P11" s="3" t="str">
        <x:v>1080 × 1920 px</x:v>
      </x:c>
      <x:c r="Q11" s="3" t="str">
        <x:v>Your Launchpad questions, answered. What should the website help people do?. What content is ready?. What support will you need?. Digital Launchpad costs ₹32,000 plus GST, with bookings from 14 to 25 September 2026. Original illustrative graphic by eLan Technology.</x:v>
      </x:c>
      <x:c r="R11" s="3" t="str">
        <x:v>Approve answers against actual package terms No client assets or testimonials. No paid promotion. Test the destination and mobile contact journey.</x:v>
      </x:c>
      <x:c r="S11" s="23" t="str">
        <x:v>☐</x:v>
      </x:c>
      <x:c r="T11" s="23" t="str">
        <x:v>☐</x:v>
      </x:c>
      <x:c r="U11" s="23" t="str">
        <x:v>☐</x:v>
      </x:c>
      <x:c r="V11" s="24"/>
      <x:c r="W11" s="22" t="str"/>
      <x:c r="X11" s="26"/>
      <x:c r="Y11" s="26"/>
      <x:c r="Z11" s="26"/>
      <x:c r="AA11" s="22" t="str"/>
      <x:c r="AB11" s="22" t="str"/>
    </x:row>
    <x:row r="12" ht="260" customHeight="1">
      <x:c r="A12" s="23" t="str">
        <x:v>☐</x:v>
      </x:c>
      <x:c r="B12" s="24" t="n">
        <x:v>46290</x:v>
      </x:c>
      <x:c r="C12" s="25" t="n">
        <x:v>0.4166666666666667</x:v>
      </x:c>
      <x:c r="D12" s="15" t="str">
        <x:v>S07</x:v>
      </x:c>
      <x:c r="E12" s="15" t="str">
        <x:v>Core</x:v>
      </x:c>
      <x:c r="F12" s="22" t="str">
        <x:v>Draft</x:v>
      </x:c>
      <x:c r="G12" s="22" t="str"/>
      <x:c r="H12" s="15" t="str">
        <x:v>Last day for Digital Launchpad bookings</x:v>
      </x:c>
      <x:c r="I12" s="15" t="str">
        <x:v>Today is the final booking day for the September Digital Launchpad offer at ₹32,000 + GST. Review the written deliverables, exclusions and payment terms before proceeding. An enquiry alone does not confirm a booking. Contact us today for the details.
Request the offer details today: https://elan-tech.net/pricing/digital-launchpad/?utm_source=linkedin&amp;utm_medium=social&amp;utm_campaign=q4_2026_launchpad&amp;utm_content=s07</x:v>
      </x:c>
      <x:c r="J12" s="15" t="str">
        <x:v>#BusinessWebsite #NagpurBusiness #eLanTechnology</x:v>
      </x:c>
      <x:c r="K12" s="15" t="str">
        <x:v>Request the offer details today</x:v>
      </x:c>
      <x:c r="L12" s="15" t="str">
        <x:v>https://elan-tech.net/pricing/digital-launchpad/?utm_source=linkedin&amp;utm_medium=social&amp;utm_campaign=q4_2026_launchpad&amp;utm_content=s07</x:v>
      </x:c>
      <x:c r="M12" s="15" t="str">
        <x:v>Document carousel (PDF)</x:v>
      </x:c>
      <x:c r="N12" s="15" t="str">
        <x:v>COVER: Last day for Digital Launchpad bookings
SLIDE 2: Bookings close today
SLIDE 3: 25 September 2026
SLIDE 4: ₹32,000 + GST
SLIDE 5: Review scope and booking terms
SLIDE 6: Request the details today
CLOSING: Request the offer details today</x:v>
      </x:c>
      <x:c r="O12" s="15" t="str">
        <x:v>One bold closing-date graphic. White, blue and orange. No countdown counter, remaining-slot claim or invented cutoff time. Create an expired version for the landing page after closure. Keep diagrams readable in a document preview.</x:v>
      </x:c>
      <x:c r="P12" s="15" t="str">
        <x:v>1080 × 1350 px</x:v>
      </x:c>
      <x:c r="Q12" s="15" t="str">
        <x:v>Last day for Digital Launchpad bookings. Bookings close today. 25 September 2026. ₹32,000 + GST. Digital Launchpad costs ₹32,000 plus GST, with bookings from 14 to 25 September 2026. Original illustrative graphic by eLan Technology.</x:v>
      </x:c>
      <x:c r="R12" s="15" t="str">
        <x:v>Confirm closing time and booking conditions; remove active promotion after expiry No client assets or testimonials. No paid promotion. Test the destination and mobile contact journey.</x:v>
      </x:c>
      <x:c r="S12" s="23" t="str">
        <x:v>☐</x:v>
      </x:c>
      <x:c r="T12" s="23" t="str">
        <x:v>☐</x:v>
      </x:c>
      <x:c r="U12" s="23" t="str">
        <x:v>☐</x:v>
      </x:c>
      <x:c r="V12" s="24"/>
      <x:c r="W12" s="22" t="str"/>
      <x:c r="X12" s="26"/>
      <x:c r="Y12" s="26"/>
      <x:c r="Z12" s="26"/>
      <x:c r="AA12" s="22" t="str"/>
      <x:c r="AB12" s="22" t="str"/>
    </x:row>
    <x:row r="13" ht="260" customHeight="1">
      <x:c r="A13" s="23" t="str">
        <x:v>☐</x:v>
      </x:c>
      <x:c r="B13" s="24" t="n">
        <x:v>46294</x:v>
      </x:c>
      <x:c r="C13" s="25" t="n">
        <x:v>0.4166666666666667</x:v>
      </x:c>
      <x:c r="D13" s="3" t="str">
        <x:v>S08</x:v>
      </x:c>
      <x:c r="E13" s="3" t="str">
        <x:v>Core</x:v>
      </x:c>
      <x:c r="F13" s="22" t="str">
        <x:v>Draft</x:v>
      </x:c>
      <x:c r="G13" s="22" t="str"/>
      <x:c r="H13" s="3" t="str">
        <x:v>A Shopify store should feel like your business</x:v>
      </x:c>
      <x:c r="I13" s="3" t="str">
        <x:v>Custom Shopify work should solve a shopping problem, not only change the colours. Start with catalogue structure, product questions, mobile browsing and the actions customers need to take. Our sample journey shows how these decisions fit together. It is an illustration, not a client result. Share your requirements for a scoped Shopify quote.
Request a Shopify quote: https://elan-tech.net/services/ecommerce/shopify-development/?utm_source=linkedin&amp;utm_medium=social&amp;utm_campaign=q4_2026_shopify&amp;utm_content=s08</x:v>
      </x:c>
      <x:c r="J13" s="3" t="str">
        <x:v>#Shopify #eCommerce #WebDesign</x:v>
      </x:c>
      <x:c r="K13" s="3" t="str">
        <x:v>Request a Shopify quote</x:v>
      </x:c>
      <x:c r="L13" s="3" t="str">
        <x:v>https://elan-tech.net/services/ecommerce/shopify-development/?utm_source=linkedin&amp;utm_medium=social&amp;utm_campaign=q4_2026_shopify&amp;utm_content=s08</x:v>
      </x:c>
      <x:c r="M13" s="3" t="str">
        <x:v>Document carousel (PDF)</x:v>
      </x:c>
      <x:c r="N13" s="3" t="str">
        <x:v>COVER: A Shopify store should feel like your business
SLIDE 2: Start with the shopping journey
SLIDE 3: Organise products clearly
SLIDE 4: Answer questions on product pages
SLIDE 5: Check navigation on a phone
SLIDE 6: Plan a custom Shopify storefront
CLOSING: Request a Shopify quote</x:v>
      </x:c>
      <x:c r="O13" s="3" t="str">
        <x:v>Five-slide original shop wireframe using neutral sample products. Green accent, cream background. Zoom into collection, product details and mobile menu. Label all screens Demonstration. Keep diagrams readable in a document preview.</x:v>
      </x:c>
      <x:c r="P13" s="3" t="str">
        <x:v>1080 × 1350 px</x:v>
      </x:c>
      <x:c r="Q13" s="3" t="str">
        <x:v>A Shopify store should feel like your business. Start with the shopping journey. Organise products clearly. Answer questions on product pages. Original illustrative graphic by eLan Technology.</x:v>
      </x:c>
      <x:c r="R13" s="3" t="str">
        <x:v>Standard approval No client assets or testimonials. No paid promotion. Test the destination and mobile contact journey.</x:v>
      </x:c>
      <x:c r="S13" s="23" t="str">
        <x:v>☐</x:v>
      </x:c>
      <x:c r="T13" s="23" t="str">
        <x:v>☐</x:v>
      </x:c>
      <x:c r="U13" s="23" t="str">
        <x:v>☐</x:v>
      </x:c>
      <x:c r="V13" s="24"/>
      <x:c r="W13" s="22" t="str"/>
      <x:c r="X13" s="26"/>
      <x:c r="Y13" s="26"/>
      <x:c r="Z13" s="26"/>
      <x:c r="AA13" s="22" t="str"/>
      <x:c r="AB13" s="22" t="str"/>
    </x:row>
    <x:row r="14" ht="260" customHeight="1">
      <x:c r="A14" s="23" t="str">
        <x:v>☐</x:v>
      </x:c>
      <x:c r="B14" s="24" t="n">
        <x:v>46297</x:v>
      </x:c>
      <x:c r="C14" s="25" t="n">
        <x:v>0.4166666666666667</x:v>
      </x:c>
      <x:c r="D14" s="15" t="str">
        <x:v>O01</x:v>
      </x:c>
      <x:c r="E14" s="15" t="str">
        <x:v>Conditional</x:v>
      </x:c>
      <x:c r="F14" s="22" t="str">
        <x:v>Hold</x:v>
      </x:c>
      <x:c r="G14" s="22" t="str"/>
      <x:c r="H14" s="15" t="str">
        <x:v>One link for your business details</x:v>
      </x:c>
      <x:c r="I14" s="15" t="str">
        <x:v>We are working on a digital business card subscription for business introductions. This preview is an early look, not a promise of launch timing or final features. The final plans, billing terms and production link will be shared after testing. Subscription prices will be quoted + GST. If it fits your networking needs, register your interest with us.
Express interest in the digital card: https://elan-tech.net/contact/?utm_source=linkedin&amp;utm_medium=social&amp;utm_campaign=q4_2026_digital_card&amp;utm_content=o01</x:v>
      </x:c>
      <x:c r="J14" s="15" t="str">
        <x:v>#DigitalBusinessCard #BusinessNetworking #eLanTechnology</x:v>
      </x:c>
      <x:c r="K14" s="15" t="str">
        <x:v>Express interest in the digital card</x:v>
      </x:c>
      <x:c r="L14" s="15" t="str">
        <x:v>https://elan-tech.net/contact/?utm_source=linkedin&amp;utm_medium=social&amp;utm_campaign=q4_2026_digital_card&amp;utm_content=o01</x:v>
      </x:c>
      <x:c r="M14" s="15" t="str">
        <x:v>Captioned native video</x:v>
      </x:c>
      <x:c r="N14" s="15" t="str">
        <x:v>COVER: One link for your business details
SLIDE 2: A digital business card is in preparation
SLIDE 3: Preview only
SLIDE 4: Final features and plans will follow
SLIDE 5: Subscription prices + GST
SLIDE 6: Reply CARD to express interest
CLOSING: Express interest in the digital card</x:v>
      </x:c>
      <x:c r="O14" s="15" t="str">
        <x:v>15-second actual preview recording with fictional sample data. Show only a tested profile and working sharing action. Preview label throughout. Do not publish an unverified domain. Keep diagrams readable in a document preview.</x:v>
      </x:c>
      <x:c r="P14" s="15" t="str">
        <x:v>1080 × 1920 px</x:v>
      </x:c>
      <x:c r="Q14" s="15" t="str">
        <x:v>One link for your business details. A digital business card is in preparation. Preview only. Final features and plans will follow. Original illustrative graphic by eLan Technology.</x:v>
      </x:c>
      <x:c r="R14" s="15" t="str">
        <x:v>Confirm working preview and approved brand/domain; not a public launch No client assets or testimonials. No paid promotion. Test the destination and mobile contact journey.</x:v>
      </x:c>
      <x:c r="S14" s="23" t="str">
        <x:v>☐</x:v>
      </x:c>
      <x:c r="T14" s="23" t="str">
        <x:v>☐</x:v>
      </x:c>
      <x:c r="U14" s="23" t="str">
        <x:v>☐</x:v>
      </x:c>
      <x:c r="V14" s="24"/>
      <x:c r="W14" s="22" t="str"/>
      <x:c r="X14" s="26"/>
      <x:c r="Y14" s="26"/>
      <x:c r="Z14" s="26"/>
      <x:c r="AA14" s="22" t="str"/>
      <x:c r="AB14"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15" ht="260" customHeight="1">
      <x:c r="A15" s="23" t="str">
        <x:v>☐</x:v>
      </x:c>
      <x:c r="B15" s="24" t="n">
        <x:v>46301</x:v>
      </x:c>
      <x:c r="C15" s="25" t="n">
        <x:v>0.4166666666666667</x:v>
      </x:c>
      <x:c r="D15" s="3" t="str">
        <x:v>O02</x:v>
      </x:c>
      <x:c r="E15" s="3" t="str">
        <x:v>Core</x:v>
      </x:c>
      <x:c r="F15" s="22" t="str">
        <x:v>Draft</x:v>
      </x:c>
      <x:c r="G15" s="22" t="str"/>
      <x:c r="H15" s="3" t="str">
        <x:v>Connect the store to the work behind it</x:v>
      </x:c>
      <x:c r="I15" s="3" t="str">
        <x:v>Storefront design is one part of commerce. Recurring orders, payment status and fulfilment need clear rules as well. Before development, map what happens when a payment succeeds, fails or needs review, and what the shipping team needs next. We can discuss custom commerce requirements without forcing every business into the same workflow.
Discuss custom commerce: https://elan-tech.net/services/ecommerce/?utm_source=linkedin&amp;utm_medium=social&amp;utm_campaign=q4_2026_commerce&amp;utm_content=o02</x:v>
      </x:c>
      <x:c r="J15" s="3" t="str">
        <x:v>#eCommerce #CustomDevelopment #OnlineStore</x:v>
      </x:c>
      <x:c r="K15" s="3" t="str">
        <x:v>Discuss custom commerce</x:v>
      </x:c>
      <x:c r="L15" s="3" t="str">
        <x:v>https://elan-tech.net/services/ecommerce/?utm_source=linkedin&amp;utm_medium=social&amp;utm_campaign=q4_2026_commerce&amp;utm_content=o02</x:v>
      </x:c>
      <x:c r="M15" s="3" t="str">
        <x:v>Document carousel (PDF)</x:v>
      </x:c>
      <x:c r="N15" s="3" t="str">
        <x:v>COVER: Connect the store to the work behind it
SLIDE 2: Customer places an order
SLIDE 3: Payment status is checked
SLIDE 4: Subscription rules apply where needed
SLIDE 5: Shipping receives the next action
SLIDE 6: Plan the workflow before the build
CLOSING: Discuss custom commerce</x:v>
      </x:c>
      <x:c r="O15" s="3" t="str">
        <x:v>Four-part original flow diagram with labelled arrows and one exception branch for payment failure. Indigo and teal accents. No client screens, order values or provider endorsement. Keep diagrams readable in a document preview.</x:v>
      </x:c>
      <x:c r="P15" s="3" t="str">
        <x:v>1080 × 1350 px</x:v>
      </x:c>
      <x:c r="Q15" s="3" t="str">
        <x:v>Connect the store to the work behind it. Customer places an order. Payment status is checked. Subscription rules apply where needed. Original illustrative graphic by eLan Technology.</x:v>
      </x:c>
      <x:c r="R15" s="3" t="str">
        <x:v>Standard approval No client assets or testimonials. No paid promotion. Test the destination and mobile contact journey.</x:v>
      </x:c>
      <x:c r="S15" s="23" t="str">
        <x:v>☐</x:v>
      </x:c>
      <x:c r="T15" s="23" t="str">
        <x:v>☐</x:v>
      </x:c>
      <x:c r="U15" s="23" t="str">
        <x:v>☐</x:v>
      </x:c>
      <x:c r="V15" s="24"/>
      <x:c r="W15" s="22" t="str"/>
      <x:c r="X15" s="26"/>
      <x:c r="Y15" s="26"/>
      <x:c r="Z15" s="26"/>
      <x:c r="AA15" s="22" t="str"/>
      <x:c r="AB15" s="22" t="str"/>
    </x:row>
    <x:row r="16" ht="260" customHeight="1">
      <x:c r="A16" s="23" t="str">
        <x:v>☐</x:v>
      </x:c>
      <x:c r="B16" s="24" t="n">
        <x:v>46304</x:v>
      </x:c>
      <x:c r="C16" s="25" t="n">
        <x:v>0.4166666666666667</x:v>
      </x:c>
      <x:c r="D16" s="15" t="str">
        <x:v>O03</x:v>
      </x:c>
      <x:c r="E16" s="15" t="str">
        <x:v>Core</x:v>
      </x:c>
      <x:c r="F16" s="22" t="str">
        <x:v>Draft</x:v>
      </x:c>
      <x:c r="G16" s="22" t="str"/>
      <x:c r="H16" s="15" t="str">
        <x:v>Can your website be used without a mouse?</x:v>
      </x:c>
      <x:c r="I16" s="15" t="str">
        <x:v>Keyboard use is a practical place to start an accessibility conversation. Check whether interactive elements can be reached, focus stays visible and forms can be completed without a mouse. A keyboard test alone does not establish WCAG conformance or legal compliance. An assessment needs an agreed scope, evidence and follow-up testing.
Request an accessibility assessment: https://elan-tech.net/services/ada-compliant-web-design/?utm_source=linkedin&amp;utm_medium=social&amp;utm_campaign=q4_2026_accessibility&amp;utm_content=o03</x:v>
      </x:c>
      <x:c r="J16" s="15" t="str">
        <x:v>#WebAccessibility #InclusiveDesign #WCAG</x:v>
      </x:c>
      <x:c r="K16" s="15" t="str">
        <x:v>Request an accessibility assessment</x:v>
      </x:c>
      <x:c r="L16" s="15" t="str">
        <x:v>https://elan-tech.net/services/ada-compliant-web-design/?utm_source=linkedin&amp;utm_medium=social&amp;utm_campaign=q4_2026_accessibility&amp;utm_content=o03</x:v>
      </x:c>
      <x:c r="M16" s="15" t="str">
        <x:v>Captioned native video</x:v>
      </x:c>
      <x:c r="N16" s="15" t="str">
        <x:v>COVER: Can your website be used without a mouse?
SLIDE 2: Put the mouse aside
SLIDE 3: Use Tab to move through the page
SLIDE 4: Look for visible focus
SLIDE 5: Try the menu and form
SLIDE 6: A starting check, not certification
CLOSING: Request an accessibility assessment</x:v>
      </x:c>
      <x:c r="O16" s="15" t="str">
        <x:v>25-second original demo. Show a clear focus outline moving through a menu and form. Add keypress captions. Teal on white, no fear imagery or lawsuit figures. Keep diagrams readable in a document preview.</x:v>
      </x:c>
      <x:c r="P16" s="15" t="str">
        <x:v>1080 × 1920 px</x:v>
      </x:c>
      <x:c r="Q16" s="15" t="str">
        <x:v>Can your website be used without a mouse?. Put the mouse aside. Use Tab to move through the page. Look for visible focus. Original illustrative graphic by eLan Technology.</x:v>
      </x:c>
      <x:c r="R16" s="15" t="str">
        <x:v>Standard approval No client assets or testimonials. No paid promotion. Test the destination and mobile contact journey.</x:v>
      </x:c>
      <x:c r="S16" s="23" t="str">
        <x:v>☐</x:v>
      </x:c>
      <x:c r="T16" s="23" t="str">
        <x:v>☐</x:v>
      </x:c>
      <x:c r="U16" s="23" t="str">
        <x:v>☐</x:v>
      </x:c>
      <x:c r="V16" s="24"/>
      <x:c r="W16" s="22" t="str"/>
      <x:c r="X16" s="26"/>
      <x:c r="Y16" s="26"/>
      <x:c r="Z16" s="26"/>
      <x:c r="AA16" s="22" t="str"/>
      <x:c r="AB16" s="22" t="str"/>
    </x:row>
    <x:row r="17" ht="260" customHeight="1">
      <x:c r="A17" s="23" t="str">
        <x:v>☐</x:v>
      </x:c>
      <x:c r="B17" s="24" t="n">
        <x:v>46308</x:v>
      </x:c>
      <x:c r="C17" s="25" t="n">
        <x:v>0.4166666666666667</x:v>
      </x:c>
      <x:c r="D17" s="3" t="str">
        <x:v>O04</x:v>
      </x:c>
      <x:c r="E17" s="3" t="str">
        <x:v>Conditional</x:v>
      </x:c>
      <x:c r="F17" s="22" t="str">
        <x:v>Hold</x:v>
      </x:c>
      <x:c r="G17" s="22" t="str"/>
      <x:c r="H17" s="3" t="str">
        <x:v>Help us test a simpler business introduction</x:v>
      </x:c>
      <x:c r="I17" s="3" t="str">
        <x:v>A pilot should answer practical questions before a wider launch. Can a new user understand the setup, find the right details and share the profile confidently? We are inviting interest in testing our digital business card. Pilot duration, access and terms will be shared before participation. Feedback is welcome and is not a request for a positive review.
Ask about the pilot: https://elan-tech.net/contact/?utm_source=linkedin&amp;utm_medium=social&amp;utm_campaign=q4_2026_digital_card&amp;utm_content=o04</x:v>
      </x:c>
      <x:c r="J17" s="3" t="str">
        <x:v>#DigitalBusinessCard #BusinessNetworking #eLanTechnology</x:v>
      </x:c>
      <x:c r="K17" s="3" t="str">
        <x:v>Ask about the pilot</x:v>
      </x:c>
      <x:c r="L17" s="3" t="str">
        <x:v>https://elan-tech.net/contact/?utm_source=linkedin&amp;utm_medium=social&amp;utm_campaign=q4_2026_digital_card&amp;utm_content=o04</x:v>
      </x:c>
      <x:c r="M17" s="3" t="str">
        <x:v>Captioned native video</x:v>
      </x:c>
      <x:c r="N17" s="3" t="str">
        <x:v>COVER: Help us test a simpler business introduction
SLIDE 2: Interested in a digital card pilot?
SLIDE 3: Test the setup journey
SLIDE 4: Check the profile details
SLIDE 5: Try the sharing experience
SLIDE 6: Ask for the pilot terms
CLOSING: Ask about the pilot</x:v>
      </x:c>
      <x:c r="O17" s="3" t="str">
        <x:v>Three-screen walkthrough with fictional data. Show only working steps. Closing card invites interest, with no free-forever or guaranteed access claim. Keep diagrams readable in a document preview.</x:v>
      </x:c>
      <x:c r="P17" s="3" t="str">
        <x:v>1080 × 1920 px</x:v>
      </x:c>
      <x:c r="Q17" s="3" t="str">
        <x:v>Help us test a simpler business introduction. Interested in a digital card pilot?. Test the setup journey. Check the profile details. Original illustrative graphic by eLan Technology.</x:v>
      </x:c>
      <x:c r="R17" s="3" t="str">
        <x:v>Pilot must be approved, functional and have written terms before invitations No client assets or testimonials. No paid promotion. Test the destination and mobile contact journey.</x:v>
      </x:c>
      <x:c r="S17" s="23" t="str">
        <x:v>☐</x:v>
      </x:c>
      <x:c r="T17" s="23" t="str">
        <x:v>☐</x:v>
      </x:c>
      <x:c r="U17" s="23" t="str">
        <x:v>☐</x:v>
      </x:c>
      <x:c r="V17" s="24"/>
      <x:c r="W17" s="22" t="str"/>
      <x:c r="X17" s="26"/>
      <x:c r="Y17" s="26"/>
      <x:c r="Z17" s="26"/>
      <x:c r="AA17" s="22" t="str"/>
      <x:c r="AB17"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18" ht="260" customHeight="1">
      <x:c r="A18" s="23" t="str">
        <x:v>☐</x:v>
      </x:c>
      <x:c r="B18" s="24" t="n">
        <x:v>46311</x:v>
      </x:c>
      <x:c r="C18" s="25" t="n">
        <x:v>0.4166666666666667</x:v>
      </x:c>
      <x:c r="D18" s="15" t="str">
        <x:v>O05</x:v>
      </x:c>
      <x:c r="E18" s="15" t="str">
        <x:v>Core</x:v>
      </x:c>
      <x:c r="F18" s="22" t="str">
        <x:v>Draft</x:v>
      </x:c>
      <x:c r="G18" s="22" t="str"/>
      <x:c r="H18" s="15" t="str">
        <x:v>What should a website quote explain?</x:v>
      </x:c>
      <x:c r="I18" s="15" t="str">
        <x:v>The most useful website proposal is one you can compare against your actual needs. Look for deliverables, responsibilities, assumptions, exclusions, revisions, handover and support. A low headline price cannot answer those questions. We prefer to scope the work before quoting so both sides know what is being agreed.
Request a scoped website quote: https://elan-tech.net/contact/?utm_source=linkedin&amp;utm_medium=social&amp;utm_campaign=q4_2026_websites&amp;utm_content=o05</x:v>
      </x:c>
      <x:c r="J18" s="15" t="str">
        <x:v>#BusinessWebsite #WebDesign #eLanTechnology</x:v>
      </x:c>
      <x:c r="K18" s="15" t="str">
        <x:v>Request a scoped website quote</x:v>
      </x:c>
      <x:c r="L18" s="15" t="str">
        <x:v>https://elan-tech.net/contact/?utm_source=linkedin&amp;utm_medium=social&amp;utm_campaign=q4_2026_websites&amp;utm_content=o05</x:v>
      </x:c>
      <x:c r="M18" s="15" t="str">
        <x:v>Document carousel (PDF)</x:v>
      </x:c>
      <x:c r="N18" s="15" t="str">
        <x:v>COVER: What should a website quote explain?
SLIDE 2: List the deliverables
SLIDE 3: Agree who supplies content
SLIDE 4: Clarify revisions and approvals
SLIDE 5: Read ownership and support terms
SLIDE 6: Check exclusions and payment stages
CLOSING: Request a scoped website quote</x:v>
      </x:c>
      <x:c r="O18" s="15" t="str">
        <x:v>Five clean document-style panels, orange highlights on key terms. No fake competitor quote or fabricated saving. Keep diagrams readable in a document preview.</x:v>
      </x:c>
      <x:c r="P18" s="15" t="str">
        <x:v>1080 × 1350 px</x:v>
      </x:c>
      <x:c r="Q18" s="15" t="str">
        <x:v>What should a website quote explain?. List the deliverables. Agree who supplies content. Clarify revisions and approvals. Original illustrative graphic by eLan Technology.</x:v>
      </x:c>
      <x:c r="R18" s="15" t="str">
        <x:v>Standard approval No client assets or testimonials. No paid promotion. Test the destination and mobile contact journey.</x:v>
      </x:c>
      <x:c r="S18" s="23" t="str">
        <x:v>☐</x:v>
      </x:c>
      <x:c r="T18" s="23" t="str">
        <x:v>☐</x:v>
      </x:c>
      <x:c r="U18" s="23" t="str">
        <x:v>☐</x:v>
      </x:c>
      <x:c r="V18" s="24"/>
      <x:c r="W18" s="22" t="str"/>
      <x:c r="X18" s="26"/>
      <x:c r="Y18" s="26"/>
      <x:c r="Z18" s="26"/>
      <x:c r="AA18" s="22" t="str"/>
      <x:c r="AB18" s="22" t="str"/>
    </x:row>
    <x:row r="19" ht="260" customHeight="1">
      <x:c r="A19" s="23" t="str">
        <x:v>☐</x:v>
      </x:c>
      <x:c r="B19" s="24" t="n">
        <x:v>46315</x:v>
      </x:c>
      <x:c r="C19" s="25" t="n">
        <x:v>0.4166666666666667</x:v>
      </x:c>
      <x:c r="D19" s="3" t="str">
        <x:v>O06</x:v>
      </x:c>
      <x:c r="E19" s="3" t="str">
        <x:v>Core</x:v>
      </x:c>
      <x:c r="F19" s="22" t="str">
        <x:v>Draft</x:v>
      </x:c>
      <x:c r="G19" s="22" t="str"/>
      <x:c r="H19" s="3" t="str">
        <x:v>Shopify, WooCommerce or Medusa.js?</x:v>
      </x:c>
      <x:c r="I19" s="3" t="str">
        <x:v>Platform choice is a business and operating decision. Consider who will run the store, how products are managed, which integrations matter and how much custom behaviour is needed. Shopify, WooCommerce and Medusa.js suit different requirements. There is no universal winner, and custom development still needs maintenance. Start with the workflow, then select the platform.
Discuss your eCommerce requirements: https://elan-tech.net/services/ecommerce/?utm_source=linkedin&amp;utm_medium=social&amp;utm_campaign=q4_2026_commerce&amp;utm_content=o06</x:v>
      </x:c>
      <x:c r="J19" s="3" t="str">
        <x:v>#eCommerce #CustomDevelopment #OnlineStore</x:v>
      </x:c>
      <x:c r="K19" s="3" t="str">
        <x:v>Discuss your eCommerce requirements</x:v>
      </x:c>
      <x:c r="L19" s="3" t="str">
        <x:v>https://elan-tech.net/services/ecommerce/?utm_source=linkedin&amp;utm_medium=social&amp;utm_campaign=q4_2026_commerce&amp;utm_content=o06</x:v>
      </x:c>
      <x:c r="M19" s="3" t="str">
        <x:v>Document carousel (PDF)</x:v>
      </x:c>
      <x:c r="N19" s="3" t="str">
        <x:v>COVER: Shopify, WooCommerce or Medusa.js?
SLIDE 2: Shopify: managed commerce platform
SLIDE 3: WooCommerce: commerce on WordPress
SLIDE 4: Medusa.js: custom commerce development
SLIDE 5: Compare integrations and ongoing work
SLIDE 6: Choose around your requirements
CLOSING: Discuss your eCommerce requirements</x:v>
      </x:c>
      <x:c r="O19" s="3" t="str">
        <x:v>Three equal rectangular cards in green, purple and indigo. No winner badge. Final comparison slide lists operations, integrations and maintenance. Keep names as text unless approved logos are available. Keep diagrams readable in a document preview.</x:v>
      </x:c>
      <x:c r="P19" s="3" t="str">
        <x:v>1080 × 1350 px</x:v>
      </x:c>
      <x:c r="Q19" s="3" t="str">
        <x:v>Shopify, WooCommerce or Medusa.js?. Shopify: managed commerce platform. WooCommerce: commerce on WordPress. Medusa.js: custom commerce development. Original illustrative graphic by eLan Technology.</x:v>
      </x:c>
      <x:c r="R19" s="3" t="str">
        <x:v>Standard approval No client assets or testimonials. No paid promotion. Test the destination and mobile contact journey.</x:v>
      </x:c>
      <x:c r="S19" s="23" t="str">
        <x:v>☐</x:v>
      </x:c>
      <x:c r="T19" s="23" t="str">
        <x:v>☐</x:v>
      </x:c>
      <x:c r="U19" s="23" t="str">
        <x:v>☐</x:v>
      </x:c>
      <x:c r="V19" s="24"/>
      <x:c r="W19" s="22" t="str"/>
      <x:c r="X19" s="26"/>
      <x:c r="Y19" s="26"/>
      <x:c r="Z19" s="26"/>
      <x:c r="AA19" s="22" t="str"/>
      <x:c r="AB19" s="22" t="str"/>
    </x:row>
    <x:row r="20" ht="260" customHeight="1">
      <x:c r="A20" s="23" t="str">
        <x:v>☐</x:v>
      </x:c>
      <x:c r="B20" s="24" t="n">
        <x:v>46318</x:v>
      </x:c>
      <x:c r="C20" s="25" t="n">
        <x:v>0.4166666666666667</x:v>
      </x:c>
      <x:c r="D20" s="15" t="str">
        <x:v>O07</x:v>
      </x:c>
      <x:c r="E20" s="15" t="str">
        <x:v>Core</x:v>
      </x:c>
      <x:c r="F20" s="22" t="str">
        <x:v>Draft</x:v>
      </x:c>
      <x:c r="G20" s="22" t="str"/>
      <x:c r="H20" s="15" t="str">
        <x:v>A local business website starts with real questions</x:v>
      </x:c>
      <x:c r="I20" s="15" t="str">
        <x:v>Local relevance comes from useful information, not a list of city names. Explain the actual service area, customer needs, contact route and working process. eLan Technology is based in Nagpur and works remotely with businesses in other locations. This sample planning sequence shows how we turn customer questions into a website structure.
Request a business website quote: https://elan-tech.net/contact/?utm_source=linkedin&amp;utm_medium=social&amp;utm_campaign=q4_2026_websites&amp;utm_content=o07</x:v>
      </x:c>
      <x:c r="J20" s="15" t="str">
        <x:v>#BusinessWebsite #WebDesign #eLanTechnology</x:v>
      </x:c>
      <x:c r="K20" s="15" t="str">
        <x:v>Request a business website quote</x:v>
      </x:c>
      <x:c r="L20" s="15" t="str">
        <x:v>https://elan-tech.net/contact/?utm_source=linkedin&amp;utm_medium=social&amp;utm_campaign=q4_2026_websites&amp;utm_content=o07</x:v>
      </x:c>
      <x:c r="M20" s="15" t="str">
        <x:v>Document carousel (PDF)</x:v>
      </x:c>
      <x:c r="N20" s="15" t="str">
        <x:v>COVER: A local business website starts with real questions
SLIDE 2: What do customers need to know?
SLIDE 3: Explain services in everyday language
SLIDE 4: State the real service area
SLIDE 5: Make enquiry options clear
SLIDE 6: Plan the mobile experience
CLOSING: Request a business website quote</x:v>
      </x:c>
      <x:c r="O20" s="15" t="str">
        <x:v>Original wireframe sequence: customer questions, service page, contact panel, phone view. Small Nagpur label, no fictional branch offices or client locations. Keep diagrams readable in a document preview.</x:v>
      </x:c>
      <x:c r="P20" s="15" t="str">
        <x:v>1080 × 1350 px</x:v>
      </x:c>
      <x:c r="Q20" s="15" t="str">
        <x:v>A local business website starts with real questions. What do customers need to know?. Explain services in everyday language. State the real service area. Original illustrative graphic by eLan Technology.</x:v>
      </x:c>
      <x:c r="R20" s="15" t="str">
        <x:v>Standard approval No client assets or testimonials. No paid promotion. Test the destination and mobile contact journey.</x:v>
      </x:c>
      <x:c r="S20" s="23" t="str">
        <x:v>☐</x:v>
      </x:c>
      <x:c r="T20" s="23" t="str">
        <x:v>☐</x:v>
      </x:c>
      <x:c r="U20" s="23" t="str">
        <x:v>☐</x:v>
      </x:c>
      <x:c r="V20" s="24"/>
      <x:c r="W20" s="22" t="str"/>
      <x:c r="X20" s="26"/>
      <x:c r="Y20" s="26"/>
      <x:c r="Z20" s="26"/>
      <x:c r="AA20" s="22" t="str"/>
      <x:c r="AB20" s="22" t="str"/>
    </x:row>
    <x:row r="21" ht="260" customHeight="1">
      <x:c r="A21" s="23" t="str">
        <x:v>☐</x:v>
      </x:c>
      <x:c r="B21" s="24" t="n">
        <x:v>46322</x:v>
      </x:c>
      <x:c r="C21" s="25" t="n">
        <x:v>0.4166666666666667</x:v>
      </x:c>
      <x:c r="D21" s="3" t="str">
        <x:v>O08</x:v>
      </x:c>
      <x:c r="E21" s="3" t="str">
        <x:v>Core</x:v>
      </x:c>
      <x:c r="F21" s="22" t="str">
        <x:v>Draft</x:v>
      </x:c>
      <x:c r="G21" s="22" t="str"/>
      <x:c r="H21" s="3" t="str">
        <x:v>Four checkout checks before your next promotion</x:v>
      </x:c>
      <x:c r="I21" s="3" t="str">
        <x:v>A promotion can send more people into the same checkout problem. Review the mobile journey, cost clarity, form errors and payment handoff before increasing traffic. Test carefully using sandbox payments where available. Prioritise reproducible issues and verify the fix rather than assuming a visual redesign has solved the problem.
Discuss store improvements: https://elan-tech.net/services/ecommerce/?utm_source=linkedin&amp;utm_medium=social&amp;utm_campaign=q4_2026_commerce&amp;utm_content=o08</x:v>
      </x:c>
      <x:c r="J21" s="3" t="str">
        <x:v>#eCommerce #CustomDevelopment #OnlineStore</x:v>
      </x:c>
      <x:c r="K21" s="3" t="str">
        <x:v>Discuss store improvements</x:v>
      </x:c>
      <x:c r="L21" s="3" t="str">
        <x:v>https://elan-tech.net/services/ecommerce/?utm_source=linkedin&amp;utm_medium=social&amp;utm_campaign=q4_2026_commerce&amp;utm_content=o08</x:v>
      </x:c>
      <x:c r="M21" s="3" t="str">
        <x:v>Captioned native video</x:v>
      </x:c>
      <x:c r="N21" s="3" t="str">
        <x:v>COVER: Four checkout checks before your next promotion
SLIDE 2: Try the journey on mobile
SLIDE 3: Check delivery-cost clarity
SLIDE 4: Read form error messages
SLIDE 5: Test the payment handoff safely
SLIDE 6: Fix issues before a promotion
CLOSING: Discuss store improvements</x:v>
      </x:c>
      <x:c r="O21" s="3" t="str">
        <x:v>30-second sandbox recording with four chapter cards. Show sample cart and error message without real customer details or payment credentials. Keep diagrams readable in a document preview.</x:v>
      </x:c>
      <x:c r="P21" s="3" t="str">
        <x:v>1080 × 1920 px</x:v>
      </x:c>
      <x:c r="Q21" s="3" t="str">
        <x:v>Four checkout checks before your next promotion. Try the journey on mobile. Check delivery-cost clarity. Read form error messages. Original illustrative graphic by eLan Technology.</x:v>
      </x:c>
      <x:c r="R21" s="3" t="str">
        <x:v>Standard approval No client assets or testimonials. No paid promotion. Test the destination and mobile contact journey.</x:v>
      </x:c>
      <x:c r="S21" s="23" t="str">
        <x:v>☐</x:v>
      </x:c>
      <x:c r="T21" s="23" t="str">
        <x:v>☐</x:v>
      </x:c>
      <x:c r="U21" s="23" t="str">
        <x:v>☐</x:v>
      </x:c>
      <x:c r="V21" s="24"/>
      <x:c r="W21" s="22" t="str"/>
      <x:c r="X21" s="26"/>
      <x:c r="Y21" s="26"/>
      <x:c r="Z21" s="26"/>
      <x:c r="AA21" s="22" t="str"/>
      <x:c r="AB21" s="22" t="str"/>
    </x:row>
    <x:row r="22" ht="260" customHeight="1">
      <x:c r="A22" s="23" t="str">
        <x:v>☐</x:v>
      </x:c>
      <x:c r="B22" s="24" t="n">
        <x:v>46325</x:v>
      </x:c>
      <x:c r="C22" s="25" t="n">
        <x:v>0.4166666666666667</x:v>
      </x:c>
      <x:c r="D22" s="15" t="str">
        <x:v>O09</x:v>
      </x:c>
      <x:c r="E22" s="15" t="str">
        <x:v>Conditional</x:v>
      </x:c>
      <x:c r="F22" s="22" t="str">
        <x:v>Hold</x:v>
      </x:c>
      <x:c r="G22" s="22" t="str"/>
      <x:c r="H22" s="15" t="str">
        <x:v>What makes a digital card easy to use?</x:v>
      </x:c>
      <x:c r="I22" s="15" t="str">
        <x:v>Our digital-card review focuses on clarity before adding more features. We are checking whether the profile is readable, actions are understandable and sharing is practical on a phone. We will publish product capabilities and plans only after verification. This is a product-development update, not a customer result or launch commitment.
Request a preview update: https://elan-tech.net/contact/?utm_source=linkedin&amp;utm_medium=social&amp;utm_campaign=q4_2026_digital_card&amp;utm_content=o09</x:v>
      </x:c>
      <x:c r="J22" s="15" t="str">
        <x:v>#DigitalBusinessCard #BusinessNetworking #eLanTechnology</x:v>
      </x:c>
      <x:c r="K22" s="15" t="str">
        <x:v>Request a preview update</x:v>
      </x:c>
      <x:c r="L22" s="15" t="str">
        <x:v>https://elan-tech.net/contact/?utm_source=linkedin&amp;utm_medium=social&amp;utm_campaign=q4_2026_digital_card&amp;utm_content=o09</x:v>
      </x:c>
      <x:c r="M22" s="15" t="str">
        <x:v>Document carousel (PDF)</x:v>
      </x:c>
      <x:c r="N22" s="15" t="str">
        <x:v>COVER: What makes a digital card easy to use?
SLIDE 2: Readable on a phone
SLIDE 3: Clear contact choices
SLIDE 4: A practical sharing journey
SLIDE 5: Product readiness comes first
SLIDE 6: Ask for a preview update
CLOSING: Request a preview update</x:v>
      </x:c>
      <x:c r="O22" s="15" t="str">
        <x:v>Three-panel internal-test checklist using a verified sample screen. Do not fabricate test scores, customer feedback or improvements not completed. Keep diagrams readable in a document preview.</x:v>
      </x:c>
      <x:c r="P22" s="15" t="str">
        <x:v>1080 × 1350 px</x:v>
      </x:c>
      <x:c r="Q22" s="15" t="str">
        <x:v>What makes a digital card easy to use?. Readable on a phone. Clear contact choices. A practical sharing journey. Original illustrative graphic by eLan Technology.</x:v>
      </x:c>
      <x:c r="R22" s="15" t="str">
        <x:v>Verify actual test status; do not imply a completed pilot or user results No client assets or testimonials. No paid promotion. Test the destination and mobile contact journey.</x:v>
      </x:c>
      <x:c r="S22" s="23" t="str">
        <x:v>☐</x:v>
      </x:c>
      <x:c r="T22" s="23" t="str">
        <x:v>☐</x:v>
      </x:c>
      <x:c r="U22" s="23" t="str">
        <x:v>☐</x:v>
      </x:c>
      <x:c r="V22" s="24"/>
      <x:c r="W22" s="22" t="str"/>
      <x:c r="X22" s="26"/>
      <x:c r="Y22" s="26"/>
      <x:c r="Z22" s="26"/>
      <x:c r="AA22" s="22" t="str"/>
      <x:c r="AB22"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3" ht="260" customHeight="1">
      <x:c r="A23" s="23" t="str">
        <x:v>☐</x:v>
      </x:c>
      <x:c r="B23" s="24" t="n">
        <x:v>46329</x:v>
      </x:c>
      <x:c r="C23" s="25" t="n">
        <x:v>0.4166666666666667</x:v>
      </x:c>
      <x:c r="D23" s="3" t="str">
        <x:v>N01</x:v>
      </x:c>
      <x:c r="E23" s="3" t="str">
        <x:v>Core</x:v>
      </x:c>
      <x:c r="F23" s="22" t="str">
        <x:v>Draft</x:v>
      </x:c>
      <x:c r="G23" s="22" t="str"/>
      <x:c r="H23" s="3" t="str">
        <x:v>Accessibility audit and remediation are different</x:v>
      </x:c>
      <x:c r="I23" s="3" t="str">
        <x:v>An accessibility engagement needs clear stages. Assessment identifies barriers within the agreed scope, remediation addresses them, and retesting checks the changes. None of these should be replaced with a blanket compliance claim. Ask what will be tested, how findings are documented and what evidence will support completion.
Request a scoped accessibility assessment: https://elan-tech.net/services/ada-compliant-web-design/?utm_source=linkedin&amp;utm_medium=social&amp;utm_campaign=q4_2026_accessibility&amp;utm_content=n01</x:v>
      </x:c>
      <x:c r="J23" s="3" t="str">
        <x:v>#WebAccessibility #InclusiveDesign #WCAG</x:v>
      </x:c>
      <x:c r="K23" s="3" t="str">
        <x:v>Request a scoped accessibility assessment</x:v>
      </x:c>
      <x:c r="L23" s="3" t="str">
        <x:v>https://elan-tech.net/services/ada-compliant-web-design/?utm_source=linkedin&amp;utm_medium=social&amp;utm_campaign=q4_2026_accessibility&amp;utm_content=n01</x:v>
      </x:c>
      <x:c r="M23" s="3" t="str">
        <x:v>Document carousel (PDF)</x:v>
      </x:c>
      <x:c r="N23" s="3" t="str">
        <x:v>COVER: Accessibility audit and remediation are different
SLIDE 2: Audit: identify barriers
SLIDE 3: Prioritise the agreed findings
SLIDE 4: Remediate: make the changes
SLIDE 5: Retest: verify the work
SLIDE 6: Agree scope and evidence
CLOSING: Request a scoped accessibility assessment</x:v>
      </x:c>
      <x:c r="O23" s="3" t="str">
        <x:v>Three-stage flow with an explicit retest loop. Teal accent, plain labels, no shield claiming legal protection. Keep diagrams readable in a document preview.</x:v>
      </x:c>
      <x:c r="P23" s="3" t="str">
        <x:v>1080 × 1350 px</x:v>
      </x:c>
      <x:c r="Q23" s="3" t="str">
        <x:v>Accessibility audit and remediation are different. Audit: identify barriers. Prioritise the agreed findings. Remediate: make the changes. Original illustrative graphic by eLan Technology.</x:v>
      </x:c>
      <x:c r="R23" s="3" t="str">
        <x:v>Standard approval No client assets or testimonials. No paid promotion. Test the destination and mobile contact journey.</x:v>
      </x:c>
      <x:c r="S23" s="23" t="str">
        <x:v>☐</x:v>
      </x:c>
      <x:c r="T23" s="23" t="str">
        <x:v>☐</x:v>
      </x:c>
      <x:c r="U23" s="23" t="str">
        <x:v>☐</x:v>
      </x:c>
      <x:c r="V23" s="24"/>
      <x:c r="W23" s="22" t="str"/>
      <x:c r="X23" s="26"/>
      <x:c r="Y23" s="26"/>
      <x:c r="Z23" s="26"/>
      <x:c r="AA23" s="22" t="str"/>
      <x:c r="AB23" s="22" t="str"/>
    </x:row>
    <x:row r="24" ht="260" customHeight="1">
      <x:c r="A24" s="23" t="str">
        <x:v>☐</x:v>
      </x:c>
      <x:c r="B24" s="24" t="n">
        <x:v>46332</x:v>
      </x:c>
      <x:c r="C24" s="25" t="n">
        <x:v>0.4166666666666667</x:v>
      </x:c>
      <x:c r="D24" s="15" t="str">
        <x:v>N02</x:v>
      </x:c>
      <x:c r="E24" s="15" t="str">
        <x:v>Core</x:v>
      </x:c>
      <x:c r="F24" s="22" t="str">
        <x:v>Draft</x:v>
      </x:c>
      <x:c r="G24" s="22" t="str"/>
      <x:c r="H24" s="15" t="str">
        <x:v>Digital card or website: which do you need?</x:v>
      </x:c>
      <x:c r="I24" s="15" t="str">
        <x:v>A digital card and a business website serve different levels of detail. One can support a concise introduction, while the other can explain services, answer buying questions and support deeper workflows. They can complement each other, but a card should not be sold as a replacement for every website. Choose around the customer task.
Discuss the right option: https://elan-tech.net/contact/?utm_source=linkedin&amp;utm_medium=social&amp;utm_campaign=q4_2026_digital_card&amp;utm_content=n02</x:v>
      </x:c>
      <x:c r="J24" s="15" t="str">
        <x:v>#DigitalBusinessCard #BusinessNetworking #eLanTechnology</x:v>
      </x:c>
      <x:c r="K24" s="15" t="str">
        <x:v>Discuss the right option</x:v>
      </x:c>
      <x:c r="L24" s="15" t="str">
        <x:v>https://elan-tech.net/contact/?utm_source=linkedin&amp;utm_medium=social&amp;utm_campaign=q4_2026_digital_card&amp;utm_content=n02</x:v>
      </x:c>
      <x:c r="M24" s="15" t="str">
        <x:v>Document carousel (PDF)</x:v>
      </x:c>
      <x:c r="N24" s="15" t="str">
        <x:v>COVER: Digital card or website: which do you need?
SLIDE 2: Digital card: a concise introduction
SLIDE 3: Website: deeper information and journeys
SLIDE 4: Some businesses need both
SLIDE 5: Start with the customer task
SLIDE 6: Ask which option fits
CLOSING: Discuss the right option</x:v>
      </x:c>
      <x:c r="O24" s="15" t="str">
        <x:v>Split layout of a simple sample profile and an original website wireframe. Equal visual weight, no misleading winner. Illustrative screens labelled. Keep diagrams readable in a document preview.</x:v>
      </x:c>
      <x:c r="P24" s="15" t="str">
        <x:v>1080 × 1350 px</x:v>
      </x:c>
      <x:c r="Q24" s="15" t="str">
        <x:v>Digital card or website: which do you need?. Digital card: a concise introduction. Website: deeper information and journeys. Some businesses need both. Original illustrative graphic by eLan Technology.</x:v>
      </x:c>
      <x:c r="R24" s="15" t="str">
        <x:v>Standard approval No client assets or testimonials. No paid promotion. Test the destination and mobile contact journey.</x:v>
      </x:c>
      <x:c r="S24" s="23" t="str">
        <x:v>☐</x:v>
      </x:c>
      <x:c r="T24" s="23" t="str">
        <x:v>☐</x:v>
      </x:c>
      <x:c r="U24" s="23" t="str">
        <x:v>☐</x:v>
      </x:c>
      <x:c r="V24" s="24"/>
      <x:c r="W24" s="22" t="str"/>
      <x:c r="X24" s="26"/>
      <x:c r="Y24" s="26"/>
      <x:c r="Z24" s="26"/>
      <x:c r="AA24" s="22" t="str"/>
      <x:c r="AB24"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5" ht="260" customHeight="1">
      <x:c r="A25" s="23" t="str">
        <x:v>☐</x:v>
      </x:c>
      <x:c r="B25" s="24" t="n">
        <x:v>46336</x:v>
      </x:c>
      <x:c r="C25" s="25" t="n">
        <x:v>0.4166666666666667</x:v>
      </x:c>
      <x:c r="D25" s="3" t="str">
        <x:v>N03</x:v>
      </x:c>
      <x:c r="E25" s="3" t="str">
        <x:v>Conditional</x:v>
      </x:c>
      <x:c r="F25" s="22" t="str">
        <x:v>Hold</x:v>
      </x:c>
      <x:c r="G25" s="22" t="str"/>
      <x:c r="H25" s="3" t="str">
        <x:v>Meet our digital business card</x:v>
      </x:c>
      <x:c r="I25" s="3" t="str">
        <x:v>We are introducing our digital business card subscription. The next step is a practical one: explore the demo, review the plan limits and billing terms, and decide whether it fits your business introductions. Subscription prices are + GST. Ask us for the verified product link and current plans.</x:v>
      </x:c>
      <x:c r="J25" s="3" t="str">
        <x:v>#DigitalBusinessCard #BusinessNetworking #eLanTechnology</x:v>
      </x:c>
      <x:c r="K25" s="3" t="str">
        <x:v>View the demo and plans</x:v>
      </x:c>
      <x:c r="L25" s="3" t="str"/>
      <x:c r="M25" s="3" t="str">
        <x:v>Captioned native video</x:v>
      </x:c>
      <x:c r="N25" s="3" t="str">
        <x:v>COVER: Meet our digital business card
SLIDE 2: Meet the digital business card
SLIDE 3: Explore the working demo
SLIDE 4: Compare plan features and limits
SLIDE 5: Subscription prices + GST
SLIDE 6: Review terms before subscribing
CLOSING: View the demo and plans</x:v>
      </x:c>
      <x:c r="O25" s="3" t="str">
        <x:v>40-second real product demo after launch approval: 0–5s introduction, 5–20s profile and two verified actions, 20–30s plans, 30–40s terms and link. Use final branding only. Keep diagrams readable in a document preview.</x:v>
      </x:c>
      <x:c r="P25" s="3" t="str">
        <x:v>1080 × 1920 px</x:v>
      </x:c>
      <x:c r="Q25" s="3" t="str">
        <x:v>Meet our digital business card. Meet the digital business card. Explore the working demo. Compare plan features and limits. Original illustrative graphic by eLan Technology.</x:v>
      </x:c>
      <x:c r="R25" s="3" t="str">
        <x:v>HOLD: provisional launch slot; publish only after explicit launch approval, working billing, terms and support No client assets or testimonials. No paid promotion. Add and test the approved product URL before publishing.</x:v>
      </x:c>
      <x:c r="S25" s="23" t="str">
        <x:v>☐</x:v>
      </x:c>
      <x:c r="T25" s="23" t="str">
        <x:v>☐</x:v>
      </x:c>
      <x:c r="U25" s="23" t="str">
        <x:v>☐</x:v>
      </x:c>
      <x:c r="V25" s="24"/>
      <x:c r="W25" s="22" t="str"/>
      <x:c r="X25" s="26"/>
      <x:c r="Y25" s="26"/>
      <x:c r="Z25" s="26"/>
      <x:c r="AA25" s="22" t="str"/>
      <x:c r="AB25"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6" ht="260" customHeight="1">
      <x:c r="A26" s="23" t="str">
        <x:v>☐</x:v>
      </x:c>
      <x:c r="B26" s="24" t="n">
        <x:v>46339</x:v>
      </x:c>
      <x:c r="C26" s="25" t="n">
        <x:v>0.4166666666666667</x:v>
      </x:c>
      <x:c r="D26" s="15" t="str">
        <x:v>N04</x:v>
      </x:c>
      <x:c r="E26" s="15" t="str">
        <x:v>Conditional</x:v>
      </x:c>
      <x:c r="F26" s="22" t="str">
        <x:v>Hold</x:v>
      </x:c>
      <x:c r="G26" s="22" t="str"/>
      <x:c r="H26" s="15" t="str">
        <x:v>From signup to your first shared card</x:v>
      </x:c>
      <x:c r="I26" s="15" t="str">
        <x:v>A good onboarding walkthrough should make the first steps clear. Enter accurate details, review the profile, test the actions and share only when everything is correct. This demonstration uses sample data. Current plan limits and billing terms apply, with subscription prices quoted + GST.</x:v>
      </x:c>
      <x:c r="J26" s="15" t="str">
        <x:v>#DigitalBusinessCard #BusinessNetworking #eLanTechnology</x:v>
      </x:c>
      <x:c r="K26" s="15" t="str">
        <x:v>Request the product walkthrough</x:v>
      </x:c>
      <x:c r="L26" s="15" t="str"/>
      <x:c r="M26" s="15" t="str">
        <x:v>Captioned native video</x:v>
      </x:c>
      <x:c r="N26" s="15" t="str">
        <x:v>COVER: From signup to your first shared card
SLIDE 2: Choose the appropriate plan
SLIDE 3: Enter accurate business details
SLIDE 4: Preview on a phone
SLIDE 5: Test the available links
SLIDE 6: Share the verified card
CLOSING: Request the product walkthrough</x:v>
      </x:c>
      <x:c r="O26" s="15" t="str">
        <x:v>Captioned real onboarding recording using a fictional test identity. Match every step to the released product. No promise of completion in a fixed number of minutes. Keep diagrams readable in a document preview.</x:v>
      </x:c>
      <x:c r="P26" s="15" t="str">
        <x:v>1080 × 1920 px</x:v>
      </x:c>
      <x:c r="Q26" s="15" t="str">
        <x:v>From signup to your first shared card. Choose the appropriate plan. Enter accurate business details. Preview on a phone. Original illustrative graphic by eLan Technology.</x:v>
      </x:c>
      <x:c r="R26" s="15" t="str">
        <x:v>HOLD unless launched and all shown steps match the released product No client assets or testimonials. No paid promotion. Add and test the approved product URL before publishing.</x:v>
      </x:c>
      <x:c r="S26" s="23" t="str">
        <x:v>☐</x:v>
      </x:c>
      <x:c r="T26" s="23" t="str">
        <x:v>☐</x:v>
      </x:c>
      <x:c r="U26" s="23" t="str">
        <x:v>☐</x:v>
      </x:c>
      <x:c r="V26" s="24"/>
      <x:c r="W26" s="22" t="str"/>
      <x:c r="X26" s="26"/>
      <x:c r="Y26" s="26"/>
      <x:c r="Z26" s="26"/>
      <x:c r="AA26" s="22" t="str"/>
      <x:c r="AB26"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7" ht="260" customHeight="1">
      <x:c r="A27" s="23" t="str">
        <x:v>☐</x:v>
      </x:c>
      <x:c r="B27" s="24" t="n">
        <x:v>46343</x:v>
      </x:c>
      <x:c r="C27" s="25" t="n">
        <x:v>0.4166666666666667</x:v>
      </x:c>
      <x:c r="D27" s="3" t="str">
        <x:v>N05</x:v>
      </x:c>
      <x:c r="E27" s="3" t="str">
        <x:v>Core</x:v>
      </x:c>
      <x:c r="F27" s="22" t="str">
        <x:v>Draft</x:v>
      </x:c>
      <x:c r="G27" s="22" t="str"/>
      <x:c r="H27" s="3" t="str">
        <x:v>What affects custom Medusa.js development cost?</x:v>
      </x:c>
      <x:c r="I27" s="3" t="str">
        <x:v>A Medusa.js quote needs more than a page count. The important questions include product rules, recurring orders, payment flows, fulfilment and support responsibilities. Separate essential workflows from later phases so the proposal is easier to evaluate. We can help turn those requirements into a scoped development plan.
Request a scoped Medusa.js quote: https://elan-tech.net/services/ecommerce/medusa-js-development/?utm_source=linkedin&amp;utm_medium=social&amp;utm_campaign=q4_2026_medusa&amp;utm_content=n05</x:v>
      </x:c>
      <x:c r="J27" s="3" t="str">
        <x:v>#MedusaJS #eCommerce #CustomDevelopment</x:v>
      </x:c>
      <x:c r="K27" s="3" t="str">
        <x:v>Request a scoped Medusa.js quote</x:v>
      </x:c>
      <x:c r="L27" s="3" t="str">
        <x:v>https://elan-tech.net/services/ecommerce/medusa-js-development/?utm_source=linkedin&amp;utm_medium=social&amp;utm_campaign=q4_2026_medusa&amp;utm_content=n05</x:v>
      </x:c>
      <x:c r="M27" s="3" t="str">
        <x:v>Document carousel (PDF)</x:v>
      </x:c>
      <x:c r="N27" s="3" t="str">
        <x:v>COVER: What affects custom Medusa.js development cost?
SLIDE 2: Storefront and product catalogue
SLIDE 3: Order and subscription rules
SLIDE 4: Payment integrations
SLIDE 5: Shipping and fulfilment
SLIDE 6: Support and future changes
CLOSING: Request a scoped Medusa.js quote</x:v>
      </x:c>
      <x:c r="O27" s="3" t="str">
        <x:v>Five connected scope blocks in indigo. Use equal-sized rectangles rather than an invented price ladder. Close with a short requirements checklist. Keep diagrams readable in a document preview.</x:v>
      </x:c>
      <x:c r="P27" s="3" t="str">
        <x:v>1080 × 1350 px</x:v>
      </x:c>
      <x:c r="Q27" s="3" t="str">
        <x:v>What affects custom Medusa.js development cost?. Storefront and product catalogue. Order and subscription rules. Payment integrations. Original illustrative graphic by eLan Technology.</x:v>
      </x:c>
      <x:c r="R27" s="3" t="str">
        <x:v>Standard approval No client assets or testimonials. No paid promotion. Test the destination and mobile contact journey.</x:v>
      </x:c>
      <x:c r="S27" s="23" t="str">
        <x:v>☐</x:v>
      </x:c>
      <x:c r="T27" s="23" t="str">
        <x:v>☐</x:v>
      </x:c>
      <x:c r="U27" s="23" t="str">
        <x:v>☐</x:v>
      </x:c>
      <x:c r="V27" s="24"/>
      <x:c r="W27" s="22" t="str"/>
      <x:c r="X27" s="26"/>
      <x:c r="Y27" s="26"/>
      <x:c r="Z27" s="26"/>
      <x:c r="AA27" s="22" t="str"/>
      <x:c r="AB27" s="22" t="str"/>
    </x:row>
    <x:row r="28" ht="260" customHeight="1">
      <x:c r="A28" s="23" t="str">
        <x:v>☐</x:v>
      </x:c>
      <x:c r="B28" s="24" t="n">
        <x:v>46346</x:v>
      </x:c>
      <x:c r="C28" s="25" t="n">
        <x:v>0.4166666666666667</x:v>
      </x:c>
      <x:c r="D28" s="15" t="str">
        <x:v>N06</x:v>
      </x:c>
      <x:c r="E28" s="15" t="str">
        <x:v>Core</x:v>
      </x:c>
      <x:c r="F28" s="22" t="str">
        <x:v>Draft</x:v>
      </x:c>
      <x:c r="G28" s="22" t="str"/>
      <x:c r="H28" s="15" t="str">
        <x:v>After a meeting, send a useful introduction</x:v>
      </x:c>
      <x:c r="I28" s="15" t="str">
        <x:v>Networking follow-up works best when it is relevant. Mention the conversation, share the information the person needs and make the next step clear. Ask permission before ongoing promotional messages. A digital card can be part of that process, not a promise of leads or sales.
Ask about the digital card: https://elan-tech.net/contact/?utm_source=linkedin&amp;utm_medium=social&amp;utm_campaign=q4_2026_digital_card&amp;utm_content=n06</x:v>
      </x:c>
      <x:c r="J28" s="15" t="str">
        <x:v>#DigitalBusinessCard #BusinessNetworking #eLanTechnology</x:v>
      </x:c>
      <x:c r="K28" s="15" t="str">
        <x:v>Ask about the digital card</x:v>
      </x:c>
      <x:c r="L28" s="15" t="str">
        <x:v>https://elan-tech.net/contact/?utm_source=linkedin&amp;utm_medium=social&amp;utm_campaign=q4_2026_digital_card&amp;utm_content=n06</x:v>
      </x:c>
      <x:c r="M28" s="15" t="str">
        <x:v>Captioned native video</x:v>
      </x:c>
      <x:c r="N28" s="15" t="str">
        <x:v>COVER: After a meeting, send a useful introduction
SLIDE 2: Refer to the conversation
SLIDE 3: Share only relevant details
SLIDE 4: Make the next step clear
SLIDE 5: Respect messaging preferences
SLIDE 6: Keep the follow-up personal
CLOSING: Ask about the digital card</x:v>
      </x:c>
      <x:c r="O28" s="15" t="str">
        <x:v>Staged two-person meeting and fictional message overlay. No real contacts, client logos or invented message screenshots presented as genuine. End with a labelled sample profile. Keep diagrams readable in a document preview.</x:v>
      </x:c>
      <x:c r="P28" s="15" t="str">
        <x:v>1080 × 1920 px</x:v>
      </x:c>
      <x:c r="Q28" s="15" t="str">
        <x:v>After a meeting, send a useful introduction. Refer to the conversation. Share only relevant details. Make the next step clear. Original illustrative graphic by eLan Technology.</x:v>
      </x:c>
      <x:c r="R28" s="15" t="str">
        <x:v>Standard approval No client assets or testimonials. No paid promotion. Test the destination and mobile contact journey.</x:v>
      </x:c>
      <x:c r="S28" s="23" t="str">
        <x:v>☐</x:v>
      </x:c>
      <x:c r="T28" s="23" t="str">
        <x:v>☐</x:v>
      </x:c>
      <x:c r="U28" s="23" t="str">
        <x:v>☐</x:v>
      </x:c>
      <x:c r="V28" s="24"/>
      <x:c r="W28" s="22" t="str"/>
      <x:c r="X28" s="26"/>
      <x:c r="Y28" s="26"/>
      <x:c r="Z28" s="26"/>
      <x:c r="AA28" s="22" t="str"/>
      <x:c r="AB28"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9" ht="260" customHeight="1">
      <x:c r="A29" s="23" t="str">
        <x:v>☐</x:v>
      </x:c>
      <x:c r="B29" s="24" t="n">
        <x:v>46350</x:v>
      </x:c>
      <x:c r="C29" s="25" t="n">
        <x:v>0.4166666666666667</x:v>
      </x:c>
      <x:c r="D29" s="3" t="str">
        <x:v>N07</x:v>
      </x:c>
      <x:c r="E29" s="3" t="str">
        <x:v>Core</x:v>
      </x:c>
      <x:c r="F29" s="22" t="str">
        <x:v>Draft</x:v>
      </x:c>
      <x:c r="G29" s="22" t="str"/>
      <x:c r="H29" s="3" t="str">
        <x:v>A portal shaped around your organisation</x:v>
      </x:c>
      <x:c r="I29" s="3" t="str">
        <x:v>Start a portal project with users, roles and daily tasks. Property listings, conference administration, society records and resort operations have different needs. Our available platforms can be adapted to the agreed requirements. Source-code delivery and application ownership are proposal-dependent. Hosting, maintenance, third-party APIs and upgrades are charged separately.
Request a portal discussion: https://elan-tech.net/products/?utm_source=linkedin&amp;utm_medium=social&amp;utm_campaign=q4_2026_portals&amp;utm_content=n07</x:v>
      </x:c>
      <x:c r="J29" s="3" t="str">
        <x:v>#BusinessSoftware #CustomDevelopment #BusinessPortal</x:v>
      </x:c>
      <x:c r="K29" s="3" t="str">
        <x:v>Request a portal discussion</x:v>
      </x:c>
      <x:c r="L29" s="3" t="str">
        <x:v>https://elan-tech.net/products/?utm_source=linkedin&amp;utm_medium=social&amp;utm_campaign=q4_2026_portals&amp;utm_content=n07</x:v>
      </x:c>
      <x:c r="M29" s="3" t="str">
        <x:v>Document carousel (PDF)</x:v>
      </x:c>
      <x:c r="N29" s="3" t="str">
        <x:v>COVER: A portal shaped around your organisation
SLIDE 2: Real Estate Portal
SLIDE 3: Medical Conference Portal
SLIDE 4: IMA Society Portal
SLIDE 5: Resort Management Portal
SLIDE 6: Customisation and commercial terms are proposal-dependent
CLOSING: Request a portal discussion</x:v>
      </x:c>
      <x:c r="O29" s="3" t="str">
        <x:v>Four original workflow tiles with one sample admin diagram. Do not use PropertyCab as the product name. Mark Demonstration. No unlimited licence, ownership or SaaS-free promise. Keep diagrams readable in a document preview.</x:v>
      </x:c>
      <x:c r="P29" s="3" t="str">
        <x:v>1080 × 1350 px</x:v>
      </x:c>
      <x:c r="Q29" s="3" t="str">
        <x:v>A portal shaped around your organisation. Real Estate Portal. Medical Conference Portal. IMA Society Portal. Original illustrative graphic by eLan Technology.</x:v>
      </x:c>
      <x:c r="R29" s="3" t="str">
        <x:v>Standard approval No client assets or testimonials. No paid promotion. Test the destination and mobile contact journey.</x:v>
      </x:c>
      <x:c r="S29" s="23" t="str">
        <x:v>☐</x:v>
      </x:c>
      <x:c r="T29" s="23" t="str">
        <x:v>☐</x:v>
      </x:c>
      <x:c r="U29" s="23" t="str">
        <x:v>☐</x:v>
      </x:c>
      <x:c r="V29" s="24"/>
      <x:c r="W29" s="22" t="str"/>
      <x:c r="X29" s="26"/>
      <x:c r="Y29" s="26"/>
      <x:c r="Z29" s="26"/>
      <x:c r="AA29" s="22" t="str"/>
      <x:c r="AB29" s="22" t="str"/>
    </x:row>
    <x:row r="30" ht="260" customHeight="1">
      <x:c r="A30" s="23" t="str">
        <x:v>☐</x:v>
      </x:c>
      <x:c r="B30" s="24" t="n">
        <x:v>46353</x:v>
      </x:c>
      <x:c r="C30" s="25" t="n">
        <x:v>0.4166666666666667</x:v>
      </x:c>
      <x:c r="D30" s="15" t="str">
        <x:v>N08</x:v>
      </x:c>
      <x:c r="E30" s="15" t="str">
        <x:v>Core</x:v>
      </x:c>
      <x:c r="F30" s="22" t="str">
        <x:v>Draft</x:v>
      </x:c>
      <x:c r="G30" s="22" t="str"/>
      <x:c r="H30" s="15" t="str">
        <x:v>Paper and digital cards can work together</x:v>
      </x:c>
      <x:c r="I30" s="15" t="str">
        <x:v>There is no need to treat paper and digital cards as an either-or decision. The useful question is how someone will retrieve your details later. If a printed card points to a digital profile, test the destination and provide a readable URL. Do not assume the person can scan a code displayed on their own phone.
Ask about digital card options: https://elan-tech.net/contact/?utm_source=linkedin&amp;utm_medium=social&amp;utm_campaign=q4_2026_digital_card&amp;utm_content=n08</x:v>
      </x:c>
      <x:c r="J30" s="15" t="str">
        <x:v>#DigitalBusinessCard #BusinessNetworking #eLanTechnology</x:v>
      </x:c>
      <x:c r="K30" s="15" t="str">
        <x:v>Ask about digital card options</x:v>
      </x:c>
      <x:c r="L30" s="15" t="str">
        <x:v>https://elan-tech.net/contact/?utm_source=linkedin&amp;utm_medium=social&amp;utm_campaign=q4_2026_digital_card&amp;utm_content=n08</x:v>
      </x:c>
      <x:c r="M30" s="15" t="str">
        <x:v>Document carousel (PDF)</x:v>
      </x:c>
      <x:c r="N30" s="15" t="str">
        <x:v>COVER: Paper and digital cards can work together
SLIDE 2: A printed card starts a conversation
SLIDE 3: A digital profile adds another route
SLIDE 4: Test the QR destination
SLIDE 5: Include a readable URL
SLIDE 6: Choose for your audience
CLOSING: Ask about digital card options</x:v>
      </x:c>
      <x:c r="O30" s="15" t="str">
        <x:v>Side-by-side original printed card and sample phone profile. QR placeholder must not be published as a working code. Replace with a tested code only after the final domain is ready. Keep diagrams readable in a document preview.</x:v>
      </x:c>
      <x:c r="P30" s="15" t="str">
        <x:v>1080 × 1350 px</x:v>
      </x:c>
      <x:c r="Q30" s="15" t="str">
        <x:v>Paper and digital cards can work together. A printed card starts a conversation. A digital profile adds another route. Test the QR destination. Original illustrative graphic by eLan Technology.</x:v>
      </x:c>
      <x:c r="R30" s="15" t="str">
        <x:v>Standard approval No client assets or testimonials. No paid promotion. Test the destination and mobile contact journey.</x:v>
      </x:c>
      <x:c r="S30" s="23" t="str">
        <x:v>☐</x:v>
      </x:c>
      <x:c r="T30" s="23" t="str">
        <x:v>☐</x:v>
      </x:c>
      <x:c r="U30" s="23" t="str">
        <x:v>☐</x:v>
      </x:c>
      <x:c r="V30" s="24"/>
      <x:c r="W30" s="22" t="str"/>
      <x:c r="X30" s="26"/>
      <x:c r="Y30" s="26"/>
      <x:c r="Z30" s="26"/>
      <x:c r="AA30" s="22" t="str"/>
      <x:c r="AB30"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1" ht="260" customHeight="1">
      <x:c r="A31" s="23" t="str">
        <x:v>☐</x:v>
      </x:c>
      <x:c r="B31" s="24" t="n">
        <x:v>46357</x:v>
      </x:c>
      <x:c r="C31" s="25" t="n">
        <x:v>0.4166666666666667</x:v>
      </x:c>
      <x:c r="D31" s="3" t="str">
        <x:v>D01</x:v>
      </x:c>
      <x:c r="E31" s="3" t="str">
        <x:v>Core</x:v>
      </x:c>
      <x:c r="F31" s="22" t="str">
        <x:v>Draft</x:v>
      </x:c>
      <x:c r="G31" s="22" t="str"/>
      <x:c r="H31" s="3" t="str">
        <x:v>What responsive website support looks like</x:v>
      </x:c>
      <x:c r="I31" s="3" t="str">
        <x:v>Support works better when the issue is reproducible. A useful report includes the affected page, device, steps and expected outcome. The response should clarify scope, priority and the next action. After the fix, confirm the original problem is resolved. Support coverage and response terms should be agreed in writing.
Discuss website support: https://elan-tech.net/contact/?utm_source=linkedin&amp;utm_medium=social&amp;utm_campaign=q4_2026_support&amp;utm_content=d01</x:v>
      </x:c>
      <x:c r="J31" s="3" t="str">
        <x:v>#WebsiteMaintenance #BusinessWebsite #eLanTechnology</x:v>
      </x:c>
      <x:c r="K31" s="3" t="str">
        <x:v>Discuss website support</x:v>
      </x:c>
      <x:c r="L31" s="3" t="str">
        <x:v>https://elan-tech.net/contact/?utm_source=linkedin&amp;utm_medium=social&amp;utm_campaign=q4_2026_support&amp;utm_content=d01</x:v>
      </x:c>
      <x:c r="M31" s="3" t="str">
        <x:v>Document carousel (PDF)</x:v>
      </x:c>
      <x:c r="N31" s="3" t="str">
        <x:v>COVER: What responsive website support looks like
SLIDE 2: Describe the issue clearly
SLIDE 3: Share steps and a safe screenshot
SLIDE 4: Agree priority and scope
SLIDE 5: Review the change
SLIDE 6: Confirm the issue is resolved
CLOSING: Discuss website support</x:v>
      </x:c>
      <x:c r="O31" s="3" t="str">
        <x:v>Four-panel ticket journey with fictional sample issue, no timestamps implying an SLA. Blue and teal. Avoid customer quotes or a fabricated support rating. Keep diagrams readable in a document preview.</x:v>
      </x:c>
      <x:c r="P31" s="3" t="str">
        <x:v>1080 × 1350 px</x:v>
      </x:c>
      <x:c r="Q31" s="3" t="str">
        <x:v>What responsive website support looks like. Describe the issue clearly. Share steps and a safe screenshot. Agree priority and scope. Original illustrative graphic by eLan Technology.</x:v>
      </x:c>
      <x:c r="R31" s="3" t="str">
        <x:v>Standard approval No client assets or testimonials. No paid promotion. Test the destination and mobile contact journey.</x:v>
      </x:c>
      <x:c r="S31" s="23" t="str">
        <x:v>☐</x:v>
      </x:c>
      <x:c r="T31" s="23" t="str">
        <x:v>☐</x:v>
      </x:c>
      <x:c r="U31" s="23" t="str">
        <x:v>☐</x:v>
      </x:c>
      <x:c r="V31" s="24"/>
      <x:c r="W31" s="22" t="str"/>
      <x:c r="X31" s="26"/>
      <x:c r="Y31" s="26"/>
      <x:c r="Z31" s="26"/>
      <x:c r="AA31" s="22" t="str"/>
      <x:c r="AB31" s="22" t="str"/>
    </x:row>
    <x:row r="32" ht="260" customHeight="1">
      <x:c r="A32" s="23" t="str">
        <x:v>☐</x:v>
      </x:c>
      <x:c r="B32" s="24" t="n">
        <x:v>46359</x:v>
      </x:c>
      <x:c r="C32" s="25" t="n">
        <x:v>0.4166666666666667</x:v>
      </x:c>
      <x:c r="D32" s="15" t="str">
        <x:v>D02</x:v>
      </x:c>
      <x:c r="E32" s="15" t="str">
        <x:v>Core</x:v>
      </x:c>
      <x:c r="F32" s="22" t="str">
        <x:v>Draft</x:v>
      </x:c>
      <x:c r="G32" s="22" t="str"/>
      <x:c r="H32" s="15" t="str">
        <x:v>Digital access should work for more people</x:v>
      </x:c>
      <x:c r="I32" s="15" t="str">
        <x:v>Today is a reminder to include accessibility in everyday product decisions. Review content readability, form labels and keyboard operation, then look beyond these starting checks. Work should be tested against the agreed requirements, with findings and fixes documented. A short checklist alone is not evidence of complete conformance.
Discuss an accessibility assessment: https://elan-tech.net/services/ada-compliant-web-design/?utm_source=linkedin&amp;utm_medium=social&amp;utm_campaign=q4_2026_accessibility&amp;utm_content=d02</x:v>
      </x:c>
      <x:c r="J32" s="15" t="str">
        <x:v>#WebAccessibility #InclusiveDesign #WCAG</x:v>
      </x:c>
      <x:c r="K32" s="15" t="str">
        <x:v>Discuss an accessibility assessment</x:v>
      </x:c>
      <x:c r="L32" s="15" t="str">
        <x:v>https://elan-tech.net/services/ada-compliant-web-design/?utm_source=linkedin&amp;utm_medium=social&amp;utm_campaign=q4_2026_accessibility&amp;utm_content=d02</x:v>
      </x:c>
      <x:c r="M32" s="15" t="str">
        <x:v>Captioned native video</x:v>
      </x:c>
      <x:c r="N32" s="15" t="str">
        <x:v>COVER: Digital access should work for more people
SLIDE 2: Readable content
SLIDE 3: Clear form labels
SLIDE 4: Keyboard operation
SLIDE 5: Useful error messages
SLIDE 6: Accessibility is ongoing work
CLOSING: Discuss an accessibility assessment</x:v>
      </x:c>
      <x:c r="O32" s="15" t="str">
        <x:v>Inclusive 25-second interface demo, no pity imagery. Show labels, focus and readable contrast using sample data. Add captions and a clear limitation: Starting checks, not certification. Keep diagrams readable in a document preview.</x:v>
      </x:c>
      <x:c r="P32" s="15" t="str">
        <x:v>1080 × 1920 px</x:v>
      </x:c>
      <x:c r="Q32" s="15" t="str">
        <x:v>Digital access should work for more people. Readable content. Clear form labels. Keyboard operation. Original illustrative graphic by eLan Technology.</x:v>
      </x:c>
      <x:c r="R32" s="15" t="str">
        <x:v>Standard approval No client assets or testimonials. No paid promotion. Test the destination and mobile contact journey.</x:v>
      </x:c>
      <x:c r="S32" s="23" t="str">
        <x:v>☐</x:v>
      </x:c>
      <x:c r="T32" s="23" t="str">
        <x:v>☐</x:v>
      </x:c>
      <x:c r="U32" s="23" t="str">
        <x:v>☐</x:v>
      </x:c>
      <x:c r="V32" s="24"/>
      <x:c r="W32" s="22" t="str"/>
      <x:c r="X32" s="26"/>
      <x:c r="Y32" s="26"/>
      <x:c r="Z32" s="26"/>
      <x:c r="AA32" s="22" t="str"/>
      <x:c r="AB32" s="22" t="str"/>
    </x:row>
    <x:row r="33" ht="260" customHeight="1">
      <x:c r="A33" s="23" t="str">
        <x:v>☐</x:v>
      </x:c>
      <x:c r="B33" s="24" t="n">
        <x:v>46364</x:v>
      </x:c>
      <x:c r="C33" s="25" t="n">
        <x:v>0.4166666666666667</x:v>
      </x:c>
      <x:c r="D33" s="3" t="str">
        <x:v>D03</x:v>
      </x:c>
      <x:c r="E33" s="3" t="str">
        <x:v>Core</x:v>
      </x:c>
      <x:c r="F33" s="22" t="str">
        <x:v>Draft</x:v>
      </x:c>
      <x:c r="G33" s="22" t="str"/>
      <x:c r="H33" s="3" t="str">
        <x:v>Are your business details ready for 2027?</x:v>
      </x:c>
      <x:c r="I33" s="3" t="str">
        <x:v>Contact consistency is a small task with practical value. Check your website, digital profile and social accounts against the same approved business information. Remove outdated numbers, old service claims and broken links. Test the customer journey rather than only reviewing the text.
Review your business details: https://elan-tech.net/contact/?utm_source=linkedin&amp;utm_medium=social&amp;utm_campaign=q4_2026_digital_card&amp;utm_content=d03</x:v>
      </x:c>
      <x:c r="J33" s="3" t="str">
        <x:v>#DigitalBusinessCard #BusinessNetworking #eLanTechnology</x:v>
      </x:c>
      <x:c r="K33" s="3" t="str">
        <x:v>Review your business details</x:v>
      </x:c>
      <x:c r="L33" s="3" t="str">
        <x:v>https://elan-tech.net/contact/?utm_source=linkedin&amp;utm_medium=social&amp;utm_campaign=q4_2026_digital_card&amp;utm_content=d03</x:v>
      </x:c>
      <x:c r="M33" s="3" t="str">
        <x:v>Document carousel (PDF)</x:v>
      </x:c>
      <x:c r="N33" s="3" t="str">
        <x:v>COVER: Are your business details ready for 2027?
SLIDE 2: Check the public phone number
SLIDE 3: Test the email and contact route
SLIDE 4: Update service information
SLIDE 5: Open every link on a phone
SLIDE 6: Keep profiles consistent
CLOSING: Review your business details</x:v>
      </x:c>
      <x:c r="O33" s="3" t="str">
        <x:v>Five checklist panels with a fictional profile card. Never show the developer contact number or real personal data. No claim that the subscription product is live unless confirmed. Keep diagrams readable in a document preview.</x:v>
      </x:c>
      <x:c r="P33" s="3" t="str">
        <x:v>1080 × 1350 px</x:v>
      </x:c>
      <x:c r="Q33" s="3" t="str">
        <x:v>Are your business details ready for 2027?. Check the public phone number. Test the email and contact route. Update service information. Original illustrative graphic by eLan Technology.</x:v>
      </x:c>
      <x:c r="R33" s="3" t="str">
        <x:v>Standard approval No client assets or testimonials. No paid promotion. Test the destination and mobile contact journey.</x:v>
      </x:c>
      <x:c r="S33" s="23" t="str">
        <x:v>☐</x:v>
      </x:c>
      <x:c r="T33" s="23" t="str">
        <x:v>☐</x:v>
      </x:c>
      <x:c r="U33" s="23" t="str">
        <x:v>☐</x:v>
      </x:c>
      <x:c r="V33" s="24"/>
      <x:c r="W33" s="22" t="str"/>
      <x:c r="X33" s="26"/>
      <x:c r="Y33" s="26"/>
      <x:c r="Z33" s="26"/>
      <x:c r="AA33" s="22" t="str"/>
      <x:c r="AB33"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4" ht="260" customHeight="1">
      <x:c r="A34" s="23" t="str">
        <x:v>☐</x:v>
      </x:c>
      <x:c r="B34" s="24" t="n">
        <x:v>46367</x:v>
      </x:c>
      <x:c r="C34" s="25" t="n">
        <x:v>0.4166666666666667</x:v>
      </x:c>
      <x:c r="D34" s="15" t="str">
        <x:v>D04</x:v>
      </x:c>
      <x:c r="E34" s="15" t="str">
        <x:v>Core</x:v>
      </x:c>
      <x:c r="F34" s="22" t="str">
        <x:v>Draft</x:v>
      </x:c>
      <x:c r="G34" s="22" t="str"/>
      <x:c r="H34" s="15" t="str">
        <x:v>Plan your 2027 website before the rush</x:v>
      </x:c>
      <x:c r="I34" s="15" t="str">
        <x:v>A useful 2027 website brief begins with decisions, not a design wish list. Define the audience, primary action, content responsibilities, integrations, budget and approval process. Include support after launch. A clear brief makes scope discussions more productive without promising a fixed delivery date before requirements are known.
Request a website planning quote: https://elan-tech.net/contact/?utm_source=linkedin&amp;utm_medium=social&amp;utm_campaign=q4_2026_websites&amp;utm_content=d04</x:v>
      </x:c>
      <x:c r="J34" s="15" t="str">
        <x:v>#BusinessWebsite #WebDesign #eLanTechnology</x:v>
      </x:c>
      <x:c r="K34" s="15" t="str">
        <x:v>Request a website planning quote</x:v>
      </x:c>
      <x:c r="L34" s="15" t="str">
        <x:v>https://elan-tech.net/contact/?utm_source=linkedin&amp;utm_medium=social&amp;utm_campaign=q4_2026_websites&amp;utm_content=d04</x:v>
      </x:c>
      <x:c r="M34" s="15" t="str">
        <x:v>Document carousel (PDF)</x:v>
      </x:c>
      <x:c r="N34" s="15" t="str">
        <x:v>COVER: Plan your 2027 website before the rush
SLIDE 2: Define the main business goal
SLIDE 3: List content and integrations
SLIDE 4: Set a realistic budget
SLIDE 5: Agree who approves decisions
SLIDE 6: Include support after launch
CLOSING: Request a website planning quote</x:v>
      </x:c>
      <x:c r="O34" s="15" t="str">
        <x:v>Six-slide planning workbook aesthetic, cream and blue with orange tabs. Final slide is an empty original brief template, not a real proposal. Keep diagrams readable in a document preview.</x:v>
      </x:c>
      <x:c r="P34" s="15" t="str">
        <x:v>1080 × 1350 px</x:v>
      </x:c>
      <x:c r="Q34" s="15" t="str">
        <x:v>Plan your 2027 website before the rush. Define the main business goal. List content and integrations. Set a realistic budget. Original illustrative graphic by eLan Technology.</x:v>
      </x:c>
      <x:c r="R34" s="15" t="str">
        <x:v>Standard approval No client assets or testimonials. No paid promotion. Test the destination and mobile contact journey.</x:v>
      </x:c>
      <x:c r="S34" s="23" t="str">
        <x:v>☐</x:v>
      </x:c>
      <x:c r="T34" s="23" t="str">
        <x:v>☐</x:v>
      </x:c>
      <x:c r="U34" s="23" t="str">
        <x:v>☐</x:v>
      </x:c>
      <x:c r="V34" s="24"/>
      <x:c r="W34" s="22" t="str"/>
      <x:c r="X34" s="26"/>
      <x:c r="Y34" s="26"/>
      <x:c r="Z34" s="26"/>
      <x:c r="AA34" s="22" t="str"/>
      <x:c r="AB34" s="22" t="str"/>
    </x:row>
    <x:row r="35" ht="260" customHeight="1">
      <x:c r="A35" s="23" t="str">
        <x:v>☐</x:v>
      </x:c>
      <x:c r="B35" s="24" t="n">
        <x:v>46371</x:v>
      </x:c>
      <x:c r="C35" s="25" t="n">
        <x:v>0.4166666666666667</x:v>
      </x:c>
      <x:c r="D35" s="3" t="str">
        <x:v>D05</x:v>
      </x:c>
      <x:c r="E35" s="3" t="str">
        <x:v>Core</x:v>
      </x:c>
      <x:c r="F35" s="22" t="str">
        <x:v>Draft</x:v>
      </x:c>
      <x:c r="G35" s="22" t="str"/>
      <x:c r="H35" s="3" t="str">
        <x:v>A custom commerce workflow, explained simply</x:v>
      </x:c>
      <x:c r="I35" s="3" t="str">
        <x:v>Custom commerce is often about connecting responsibilities. What does the storefront collect? How is payment status confirmed? When do recurring rules apply? What does fulfilment need next? This illustrative workflow is a conversation starter, not a claim about a client system. Share the requirements for your own operation.
Discuss your commerce workflow: https://elan-tech.net/services/ecommerce/?utm_source=linkedin&amp;utm_medium=social&amp;utm_campaign=q4_2026_commerce&amp;utm_content=d05</x:v>
      </x:c>
      <x:c r="J35" s="3" t="str">
        <x:v>#eCommerce #CustomDevelopment #OnlineStore</x:v>
      </x:c>
      <x:c r="K35" s="3" t="str">
        <x:v>Discuss your commerce workflow</x:v>
      </x:c>
      <x:c r="L35" s="3" t="str">
        <x:v>https://elan-tech.net/services/ecommerce/?utm_source=linkedin&amp;utm_medium=social&amp;utm_campaign=q4_2026_commerce&amp;utm_content=d05</x:v>
      </x:c>
      <x:c r="M35" s="3" t="str">
        <x:v>Captioned native video</x:v>
      </x:c>
      <x:c r="N35" s="3" t="str">
        <x:v>COVER: A custom commerce workflow, explained simply
SLIDE 2: Customer browses and orders
SLIDE 3: Payment status is confirmed
SLIDE 4: Recurring rules apply if required
SLIDE 5: Fulfilment receives instructions
SLIDE 6: Support can follow the order journey
CLOSING: Discuss your commerce workflow</x:v>
      </x:c>
      <x:c r="O35" s="3" t="str">
        <x:v>30-second animated original diagram, storefront to payments to fulfilment with a support loop. Label Illustrative workflow. No revenue counter, live payments or client screenshots. Keep diagrams readable in a document preview.</x:v>
      </x:c>
      <x:c r="P35" s="3" t="str">
        <x:v>1080 × 1920 px</x:v>
      </x:c>
      <x:c r="Q35" s="3" t="str">
        <x:v>A custom commerce workflow, explained simply. Customer browses and orders. Payment status is confirmed. Recurring rules apply if required. Original illustrative graphic by eLan Technology.</x:v>
      </x:c>
      <x:c r="R35" s="3" t="str">
        <x:v>Standard approval No client assets or testimonials. No paid promotion. Test the destination and mobile contact journey.</x:v>
      </x:c>
      <x:c r="S35" s="23" t="str">
        <x:v>☐</x:v>
      </x:c>
      <x:c r="T35" s="23" t="str">
        <x:v>☐</x:v>
      </x:c>
      <x:c r="U35" s="23" t="str">
        <x:v>☐</x:v>
      </x:c>
      <x:c r="V35" s="24"/>
      <x:c r="W35" s="22" t="str"/>
      <x:c r="X35" s="26"/>
      <x:c r="Y35" s="26"/>
      <x:c r="Z35" s="26"/>
      <x:c r="AA35" s="22" t="str"/>
      <x:c r="AB35" s="22" t="str"/>
    </x:row>
    <x:row r="36" ht="260" customHeight="1">
      <x:c r="A36" s="23" t="str">
        <x:v>☐</x:v>
      </x:c>
      <x:c r="B36" s="24" t="n">
        <x:v>46374</x:v>
      </x:c>
      <x:c r="C36" s="25" t="n">
        <x:v>0.4166666666666667</x:v>
      </x:c>
      <x:c r="D36" s="15" t="str">
        <x:v>D06</x:v>
      </x:c>
      <x:c r="E36" s="15" t="str">
        <x:v>Core</x:v>
      </x:c>
      <x:c r="F36" s="22" t="str">
        <x:v>Draft</x:v>
      </x:c>
      <x:c r="G36" s="22" t="str"/>
      <x:c r="H36" s="15" t="str">
        <x:v>Read the subscription details before you choose</x:v>
      </x:c>
      <x:c r="I36" s="15" t="str">
        <x:v>Subscription clarity matters as much as the feature list. Review the billing interval, limits, renewal, cancellation and support terms. Confirm what happens when you change or end a plan. Digital-card subscription prices are + GST. We can share the approved plan details once available.
Request subscription plan details: https://elan-tech.net/contact/?utm_source=linkedin&amp;utm_medium=social&amp;utm_campaign=q4_2026_digital_card&amp;utm_content=d06</x:v>
      </x:c>
      <x:c r="J36" s="15" t="str">
        <x:v>#DigitalBusinessCard #BusinessNetworking #eLanTechnology</x:v>
      </x:c>
      <x:c r="K36" s="15" t="str">
        <x:v>Request subscription plan details</x:v>
      </x:c>
      <x:c r="L36" s="15" t="str">
        <x:v>https://elan-tech.net/contact/?utm_source=linkedin&amp;utm_medium=social&amp;utm_campaign=q4_2026_digital_card&amp;utm_content=d06</x:v>
      </x:c>
      <x:c r="M36" s="15" t="str">
        <x:v>Document carousel (PDF)</x:v>
      </x:c>
      <x:c r="N36" s="15" t="str">
        <x:v>COVER: Read the subscription details before you choose
SLIDE 2: What features are included?
SLIDE 3: How often is the plan billed?
SLIDE 4: What limits apply?
SLIDE 5: How do renewal and cancellation work?
SLIDE 6: Prices are quoted + GST
CLOSING: Request subscription plan details</x:v>
      </x:c>
      <x:c r="O36" s="15" t="str">
        <x:v>Clean five-panel plan-reading guide. Do not invent a tier, free plan, fee or cancellation promise. Insert actual prices only after approval, always beside + GST. Keep diagrams readable in a document preview.</x:v>
      </x:c>
      <x:c r="P36" s="15" t="str">
        <x:v>1080 × 1350 px</x:v>
      </x:c>
      <x:c r="Q36" s="15" t="str">
        <x:v>Read the subscription details before you choose. What features are included?. How often is the plan billed?. What limits apply?. Original illustrative graphic by eLan Technology.</x:v>
      </x:c>
      <x:c r="R36" s="15" t="str">
        <x:v>Approve plan terms before adding prices or purchase link No client assets or testimonials. No paid promotion. Test the destination and mobile contact journey.</x:v>
      </x:c>
      <x:c r="S36" s="23" t="str">
        <x:v>☐</x:v>
      </x:c>
      <x:c r="T36" s="23" t="str">
        <x:v>☐</x:v>
      </x:c>
      <x:c r="U36" s="23" t="str">
        <x:v>☐</x:v>
      </x:c>
      <x:c r="V36" s="24"/>
      <x:c r="W36" s="22" t="str"/>
      <x:c r="X36" s="26"/>
      <x:c r="Y36" s="26"/>
      <x:c r="Z36" s="26"/>
      <x:c r="AA36" s="22" t="str"/>
      <x:c r="AB36"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7" ht="260" customHeight="1">
      <x:c r="A37" s="23" t="str">
        <x:v>☐</x:v>
      </x:c>
      <x:c r="B37" s="24" t="n">
        <x:v>46378</x:v>
      </x:c>
      <x:c r="C37" s="25" t="n">
        <x:v>0.4166666666666667</x:v>
      </x:c>
      <x:c r="D37" s="3" t="str">
        <x:v>D07</x:v>
      </x:c>
      <x:c r="E37" s="3" t="str">
        <x:v>Core</x:v>
      </x:c>
      <x:c r="F37" s="22" t="str">
        <x:v>Draft</x:v>
      </x:c>
      <x:c r="G37" s="22" t="str"/>
      <x:c r="H37" s="3" t="str">
        <x:v>Small website details worth getting right</x:v>
      </x:c>
      <x:c r="I37" s="3" t="str">
        <x:v>A website review does not need to begin with a complete redesign. Start with the tasks visitors perform and inspect the details around them: navigation, content, forms, contact routes and keyboard focus. Use evidence from testing to decide what needs attention. Fixes should be verified, not assumed.
Discuss website improvements: https://elan-tech.net/contact/?utm_source=linkedin&amp;utm_medium=social&amp;utm_campaign=q4_2026_websites&amp;utm_content=d07</x:v>
      </x:c>
      <x:c r="J37" s="3" t="str">
        <x:v>#BusinessWebsite #WebDesign #eLanTechnology</x:v>
      </x:c>
      <x:c r="K37" s="3" t="str">
        <x:v>Discuss website improvements</x:v>
      </x:c>
      <x:c r="L37" s="3" t="str">
        <x:v>https://elan-tech.net/contact/?utm_source=linkedin&amp;utm_medium=social&amp;utm_campaign=q4_2026_websites&amp;utm_content=d07</x:v>
      </x:c>
      <x:c r="M37" s="3" t="str">
        <x:v>Document carousel (PDF)</x:v>
      </x:c>
      <x:c r="N37" s="3" t="str">
        <x:v>COVER: Small website details worth getting right
SLIDE 2: Read the text on a phone
SLIDE 3: Use the mobile menu
SLIDE 4: Check product and service details
SLIDE 5: Test forms and contact routes
SLIDE 6: Review keyboard focus
CLOSING: Discuss website improvements</x:v>
      </x:c>
      <x:c r="O37" s="3" t="str">
        <x:v>Six short original demo clips or six-slide carousel. One detail per frame, blue base with teal accents. No portfolio montage or client logos. Keep diagrams readable in a document preview.</x:v>
      </x:c>
      <x:c r="P37" s="3" t="str">
        <x:v>1080 × 1350 px</x:v>
      </x:c>
      <x:c r="Q37" s="3" t="str">
        <x:v>Small website details worth getting right. Read the text on a phone. Use the mobile menu. Check product and service details. Original illustrative graphic by eLan Technology.</x:v>
      </x:c>
      <x:c r="R37" s="3" t="str">
        <x:v>Standard approval No client assets or testimonials. No paid promotion. Test the destination and mobile contact journey.</x:v>
      </x:c>
      <x:c r="S37" s="23" t="str">
        <x:v>☐</x:v>
      </x:c>
      <x:c r="T37" s="23" t="str">
        <x:v>☐</x:v>
      </x:c>
      <x:c r="U37" s="23" t="str">
        <x:v>☐</x:v>
      </x:c>
      <x:c r="V37" s="24"/>
      <x:c r="W37" s="22" t="str"/>
      <x:c r="X37" s="26"/>
      <x:c r="Y37" s="26"/>
      <x:c r="Z37" s="26"/>
      <x:c r="AA37" s="22" t="str"/>
      <x:c r="AB37" s="22" t="str"/>
    </x:row>
    <x:row r="38" ht="260" customHeight="1">
      <x:c r="A38" s="23" t="str">
        <x:v>☐</x:v>
      </x:c>
      <x:c r="B38" s="24" t="n">
        <x:v>46381</x:v>
      </x:c>
      <x:c r="C38" s="25" t="n">
        <x:v>0.4166666666666667</x:v>
      </x:c>
      <x:c r="D38" s="15" t="str">
        <x:v>D08</x:v>
      </x:c>
      <x:c r="E38" s="15" t="str">
        <x:v>Core</x:v>
      </x:c>
      <x:c r="F38" s="22" t="str">
        <x:v>Draft</x:v>
      </x:c>
      <x:c r="G38" s="22" t="str"/>
      <x:c r="H38" s="15" t="str">
        <x:v>Wishing you a warm and peaceful Christmas</x:v>
      </x:c>
      <x:c r="I38" s="15" t="str">
        <x:v>Wishing our community a peaceful Christmas and a restful holiday season. Warm wishes from eLan Technology.</x:v>
      </x:c>
      <x:c r="J38" s="15" t="str">
        <x:v>#eLanTechnology</x:v>
      </x:c>
      <x:c r="K38" s="15" t="str">
        <x:v>No sales CTA</x:v>
      </x:c>
      <x:c r="L38" s="15" t="str"/>
      <x:c r="M38" s="15" t="str">
        <x:v>Document carousel (PDF)</x:v>
      </x:c>
      <x:c r="N38" s="15" t="str">
        <x:v>COVER: Wishing you a warm and peaceful Christmas
SLIDE 2: Merry Christmas
SLIDE 3: Warm wishes from eLan Technology
SLIDE 4: Wishing you a peaceful holiday season
CLOSING: No sales CTA</x:v>
      </x:c>
      <x:c r="O38" s="15" t="str">
        <x:v>Bright cream card, fine blue line illustration of a tree with a small orange star. Minimal five-second animation optional. No price, sale, client assets or CTA. Keep diagrams readable in a document preview.</x:v>
      </x:c>
      <x:c r="P38" s="15" t="str">
        <x:v>1080 × 1350 px</x:v>
      </x:c>
      <x:c r="Q38" s="15" t="str">
        <x:v>Wishing you a warm and peaceful Christmas. Merry Christmas. Warm wishes from eLan Technology. Wishing you a peaceful holiday season. Original illustrative graphic by eLan Technology.</x:v>
      </x:c>
      <x:c r="R38" s="15" t="str">
        <x:v>Standard approval No client assets or testimonials. No paid promotion. Test the destination and mobile contact journey.</x:v>
      </x:c>
      <x:c r="S38" s="23" t="str">
        <x:v>☐</x:v>
      </x:c>
      <x:c r="T38" s="23" t="str">
        <x:v>☐</x:v>
      </x:c>
      <x:c r="U38" s="23" t="str">
        <x:v>☐</x:v>
      </x:c>
      <x:c r="V38" s="24"/>
      <x:c r="W38" s="22" t="str"/>
      <x:c r="X38" s="26"/>
      <x:c r="Y38" s="26"/>
      <x:c r="Z38" s="26"/>
      <x:c r="AA38" s="22" t="str"/>
      <x:c r="AB38" s="22" t="str"/>
    </x:row>
    <x:row r="39" ht="260" customHeight="1">
      <x:c r="A39" s="23" t="str">
        <x:v>☐</x:v>
      </x:c>
      <x:c r="B39" s="24" t="n">
        <x:v>46385</x:v>
      </x:c>
      <x:c r="C39" s="25" t="n">
        <x:v>0.4166666666666667</x:v>
      </x:c>
      <x:c r="D39" s="3" t="str">
        <x:v>D09</x:v>
      </x:c>
      <x:c r="E39" s="3" t="str">
        <x:v>Core</x:v>
      </x:c>
      <x:c r="F39" s="22" t="str">
        <x:v>Draft</x:v>
      </x:c>
      <x:c r="G39" s="22" t="str"/>
      <x:c r="H39" s="3" t="str">
        <x:v>What should work better for your business next year?</x:v>
      </x:c>
      <x:c r="I39" s="3" t="str">
        <x:v>As you plan 2027, choose one customer journey to improve. It could be the first introduction, finding the right service information or placing an order. Define the problem before selecting a digital card, website or custom commerce project. We can help scope the next step around that goal.
Tell us your 2027 priority: https://elan-tech.net/contact/?utm_source=linkedin&amp;utm_medium=social&amp;utm_campaign=q4_2026_websites&amp;utm_content=d09</x:v>
      </x:c>
      <x:c r="J39" s="3" t="str">
        <x:v>#BusinessWebsite #WebDesign #eLanTechnology</x:v>
      </x:c>
      <x:c r="K39" s="3" t="str">
        <x:v>Tell us your 2027 priority</x:v>
      </x:c>
      <x:c r="L39" s="3" t="str">
        <x:v>https://elan-tech.net/contact/?utm_source=linkedin&amp;utm_medium=social&amp;utm_campaign=q4_2026_websites&amp;utm_content=d09</x:v>
      </x:c>
      <x:c r="M39" s="3" t="str">
        <x:v>Document carousel (PDF)</x:v>
      </x:c>
      <x:c r="N39" s="3" t="str">
        <x:v>COVER: What should work better for your business next year?
SLIDE 2: Make introductions easier
SLIDE 3: Explain services more clearly
SLIDE 4: Improve the shopping journey
SLIDE 5: Choose one priority
SLIDE 6: Plan the next step around it
CLOSING: Tell us your 2027 priority</x:v>
      </x:c>
      <x:c r="O39" s="3" t="str">
        <x:v>Three distinct rectangular panels: introduction, business website, commerce. Original icons and sample layouts. Keep subscription product and development services separate. Keep diagrams readable in a document preview.</x:v>
      </x:c>
      <x:c r="P39" s="3" t="str">
        <x:v>1080 × 1350 px</x:v>
      </x:c>
      <x:c r="Q39" s="3" t="str">
        <x:v>What should work better for your business next year?. Make introductions easier. Explain services more clearly. Improve the shopping journey. Original illustrative graphic by eLan Technology.</x:v>
      </x:c>
      <x:c r="R39" s="3" t="str">
        <x:v>Standard approval No client assets or testimonials. No paid promotion. Test the destination and mobile contact journey.</x:v>
      </x:c>
      <x:c r="S39" s="23" t="str">
        <x:v>☐</x:v>
      </x:c>
      <x:c r="T39" s="23" t="str">
        <x:v>☐</x:v>
      </x:c>
      <x:c r="U39" s="23" t="str">
        <x:v>☐</x:v>
      </x:c>
      <x:c r="V39" s="24"/>
      <x:c r="W39" s="22" t="str"/>
      <x:c r="X39" s="26"/>
      <x:c r="Y39" s="26"/>
      <x:c r="Z39" s="26"/>
      <x:c r="AA39" s="22" t="str"/>
      <x:c r="AB39" s="22" t="str"/>
    </x:row>
    <x:row r="40" ht="260" customHeight="1">
      <x:c r="A40" s="23" t="str">
        <x:v>☐</x:v>
      </x:c>
      <x:c r="B40" s="24" t="n">
        <x:v>46387</x:v>
      </x:c>
      <x:c r="C40" s="25" t="n">
        <x:v>0.4166666666666667</x:v>
      </x:c>
      <x:c r="D40" s="15" t="str">
        <x:v>D10</x:v>
      </x:c>
      <x:c r="E40" s="15" t="str">
        <x:v>Core</x:v>
      </x:c>
      <x:c r="F40" s="22" t="str">
        <x:v>Draft</x:v>
      </x:c>
      <x:c r="G40" s="22" t="str"/>
      <x:c r="H40" s="15" t="str">
        <x:v>Thank you for being part of our year</x:v>
      </x:c>
      <x:c r="I40" s="15" t="str">
        <x:v>As 2026 closes, thank you to everyone who took time to talk with us, ask thoughtful questions and share ideas. We look forward to continuing the work in 2027 with clear communication and care for the people using what we build. Happy New Year from eLan Technology.</x:v>
      </x:c>
      <x:c r="J40" s="15" t="str">
        <x:v>#eLanTechnology</x:v>
      </x:c>
      <x:c r="K40" s="15" t="str">
        <x:v>No sales CTA</x:v>
      </x:c>
      <x:c r="L40" s="15" t="str"/>
      <x:c r="M40" s="15" t="str">
        <x:v>Captioned native video</x:v>
      </x:c>
      <x:c r="N40" s="15" t="str">
        <x:v>COVER: Thank you for being part of our year
SLIDE 2: Thank you for being part of our year
SLIDE 3: Here is to thoughtful work and clear communication
SLIDE 4: Wishing you a happy 2027
SLIDE 5: From eLan Technology
CLOSING: No sales CTA</x:v>
      </x:c>
      <x:c r="O40" s="15" t="str">
        <x:v>20-second genuine founder thank-you, or a clean typographic animation. No client montage, invented annual totals or unapproved team claims. Keep diagrams readable in a document preview.</x:v>
      </x:c>
      <x:c r="P40" s="15" t="str">
        <x:v>1080 × 1920 px</x:v>
      </x:c>
      <x:c r="Q40" s="15" t="str">
        <x:v>Thank you for being part of our year. Thank you for being part of our year. Here is to thoughtful work and clear communication. Wishing you a happy 2027. Original illustrative graphic by eLan Technology.</x:v>
      </x:c>
      <x:c r="R40" s="15" t="str">
        <x:v>Standard approval No client assets or testimonials. No paid promotion. Test the destination and mobile contact journey.</x:v>
      </x:c>
      <x:c r="S40" s="23" t="str">
        <x:v>☐</x:v>
      </x:c>
      <x:c r="T40" s="23" t="str">
        <x:v>☐</x:v>
      </x:c>
      <x:c r="U40" s="23" t="str">
        <x:v>☐</x:v>
      </x:c>
      <x:c r="V40" s="24"/>
      <x:c r="W40" s="22" t="str"/>
      <x:c r="X40" s="26"/>
      <x:c r="Y40" s="26"/>
      <x:c r="Z40" s="26"/>
      <x:c r="AA40" s="22" t="str"/>
      <x:c r="AB40" s="22" t="str"/>
    </x:row>
  </x:sheetData>
  <x:conditionalFormatting sqref="A6:A40">
    <x:cfRule type="cellIs" dxfId="4" priority="1" operator="equal">
      <x:formula>"✓"</x:formula>
    </x:cfRule>
  </x:conditionalFormatting>
  <x:conditionalFormatting sqref="S6:U40">
    <x:cfRule type="cellIs" dxfId="5" priority="2" operator="equal">
      <x:formula>"✓"</x:formula>
    </x:cfRule>
  </x:conditionalFormatting>
  <x:dataValidations count="4">
    <x:dataValidation type="list" sqref="A6:A40">
      <x:formula1>"☐,✓,N/A"</x:formula1>
    </x:dataValidation>
    <x:dataValidation type="list" sqref="S6:U40">
      <x:formula1>"☐,✓"</x:formula1>
    </x:dataValidation>
    <x:dataValidation type="list" sqref="F6:F40">
      <x:formula1>"Draft,In production,Ready,Scheduled,Published,Hold,Skipped"</x:formula1>
    </x:dataValidation>
    <x:dataValidation type="list" sqref="E6:E40">
      <x:formula1>"Core,Conditional,Optional"</x:formula1>
    </x:dataValidation>
  </x:dataValidations>
  <x:pageMargins left="0.7" right="0.7" top="0.75" bottom="0.75" header="0.3" footer="0.3"/>
  <x:tableParts count="1">
    <x:tablePart xmlns:r="http://schemas.openxmlformats.org/officeDocument/2006/relationships" r:id="R1a106911cff14a6f"/>
  </x:tableParts>
</x:worksheet>
</file>

<file path=xl/worksheets/sheet5.xml><?xml version="1.0" encoding="utf-8"?>
<x:worksheet xmlns:x="http://schemas.openxmlformats.org/spreadsheetml/2006/main">
  <x:sheetPr>
    <x:tabColor rgb="FF173C65"/>
  </x:sheetPr>
  <x:sheetViews>
    <x:sheetView showGridLines="0" workbookViewId="0">
      <x:pane xSplit="4" ySplit="5" topLeftCell="E6" activePane="bottomRight" state="frozen"/>
    </x:sheetView>
  </x:sheetViews>
  <x:sheetFormatPr defaultRowHeight="15"/>
  <x:cols>
    <x:col min="1" max="1" width="12" hidden="0" customWidth="1"/>
    <x:col min="2" max="2" width="15" hidden="0" customWidth="1"/>
    <x:col min="3" max="3" width="12" hidden="0" customWidth="1"/>
    <x:col min="4" max="4" width="11" hidden="0" customWidth="1"/>
    <x:col min="5" max="5" width="14" hidden="0" customWidth="1"/>
    <x:col min="6" max="6" width="15" hidden="0" customWidth="1"/>
    <x:col min="7" max="7" width="18" hidden="0" customWidth="1"/>
    <x:col min="8" max="8" width="39" hidden="0" customWidth="1"/>
    <x:col min="9" max="9" width="83" hidden="0" customWidth="1"/>
    <x:col min="10" max="10" width="30" hidden="0" customWidth="1"/>
    <x:col min="11" max="11" width="28" hidden="0" customWidth="1"/>
    <x:col min="12" max="12" width="48" hidden="0" customWidth="1"/>
    <x:col min="13" max="13" width="23" hidden="0" customWidth="1"/>
    <x:col min="14" max="14" width="63" hidden="0" customWidth="1"/>
    <x:col min="15" max="15" width="65" hidden="0" customWidth="1"/>
    <x:col min="16" max="16" width="22" hidden="0" customWidth="1"/>
    <x:col min="17" max="17" width="60" hidden="0" customWidth="1"/>
    <x:col min="18" max="18" width="64" hidden="0" customWidth="1"/>
    <x:col min="19" max="19" width="13" hidden="0" customWidth="1"/>
    <x:col min="20" max="20" width="13" hidden="0" customWidth="1"/>
    <x:col min="21" max="21" width="13" hidden="0" customWidth="1"/>
    <x:col min="22" max="22" width="15" hidden="0" customWidth="1"/>
    <x:col min="23" max="23" width="44" hidden="0" customWidth="1"/>
    <x:col min="24" max="24" width="15" hidden="0" customWidth="1"/>
    <x:col min="25" max="25" width="15" hidden="0" customWidth="1"/>
    <x:col min="26" max="26" width="18" hidden="0" customWidth="1"/>
    <x:col min="27" max="27" width="40" hidden="0" customWidth="1"/>
    <x:col min="28" max="28" width="65" hidden="0" customWidth="1"/>
  </x:cols>
  <x:sheetData>
    <x:row r="1" ht="28" customHeight="1">
      <x:c r="A1" s="5" t="str">
        <x:v>Google Business calendar</x:v>
      </x:c>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22" customHeight="1">
      <x:c r="A2" s="7" t="str">
        <x:v>11 September–31 December 2026. Tick Published only after it is live. Amber cells are tracking inputs. Scroll right for complete copy and visuals.</x:v>
      </x:c>
      <x:c r="B2" s="3"/>
      <x:c r="C2" s="3"/>
      <x:c r="D2" s="3"/>
      <x:c r="E2" s="3"/>
      <x:c r="F2" s="3"/>
      <x:c r="G2" s="3"/>
      <x:c r="H2" s="3"/>
      <x:c r="I2" s="3"/>
      <x:c r="J2" s="3"/>
      <x:c r="K2" s="3"/>
      <x:c r="L2" s="3"/>
      <x:c r="M2" s="3"/>
      <x:c r="N2" s="3"/>
      <x:c r="O2" s="3"/>
      <x:c r="P2" s="3"/>
      <x:c r="Q2" s="3"/>
      <x:c r="R2" s="3"/>
      <x:c r="S2" s="3"/>
      <x:c r="T2" s="3"/>
      <x:c r="U2" s="3"/>
      <x:c r="V2" s="3"/>
      <x:c r="W2" s="3"/>
      <x:c r="X2" s="3"/>
      <x:c r="Y2" s="3"/>
      <x:c r="Z2" s="3"/>
      <x:c r="AA2" s="3"/>
      <x:c r="AB2" s="3"/>
    </x:row>
    <x:row r="3">
      <x:c r="A3" s="8"/>
      <x:c r="B3" s="8"/>
      <x:c r="C3" s="8"/>
      <x:c r="D3" s="8"/>
      <x:c r="E3" s="8"/>
      <x:c r="F3" s="8"/>
      <x:c r="G3" s="8"/>
      <x:c r="H3" s="8"/>
      <x:c r="I3" s="8"/>
      <x:c r="J3" s="8"/>
      <x:c r="K3" s="8"/>
      <x:c r="L3" s="8"/>
      <x:c r="M3" s="8"/>
      <x:c r="N3" s="8"/>
      <x:c r="O3" s="8"/>
      <x:c r="P3" s="8"/>
      <x:c r="Q3" s="8"/>
      <x:c r="R3" s="8"/>
      <x:c r="S3" s="8"/>
      <x:c r="T3" s="8"/>
      <x:c r="U3" s="8"/>
      <x:c r="V3" s="8"/>
      <x:c r="W3" s="8"/>
      <x:c r="X3" s="8"/>
      <x:c r="Y3" s="8"/>
      <x:c r="Z3" s="8"/>
      <x:c r="AA3" s="8"/>
      <x:c r="AB3" s="8"/>
    </x:row>
    <x:row r="4">
      <x:c r="A4" s="3"/>
      <x:c r="B4" s="3"/>
      <x:c r="C4" s="3"/>
      <x:c r="D4" s="3"/>
      <x:c r="E4" s="3"/>
      <x:c r="F4" s="3"/>
      <x:c r="G4" s="3"/>
      <x:c r="H4" s="3"/>
      <x:c r="I4" s="3"/>
      <x:c r="J4" s="3"/>
      <x:c r="K4" s="3"/>
      <x:c r="L4" s="3"/>
      <x:c r="M4" s="3"/>
      <x:c r="N4" s="3"/>
      <x:c r="O4" s="3"/>
      <x:c r="P4" s="3"/>
      <x:c r="Q4" s="3"/>
      <x:c r="R4" s="3"/>
      <x:c r="S4" s="3"/>
      <x:c r="T4" s="3"/>
      <x:c r="U4" s="3"/>
      <x:c r="V4" s="3"/>
      <x:c r="W4" s="3"/>
      <x:c r="X4" s="3"/>
      <x:c r="Y4" s="3"/>
      <x:c r="Z4" s="3"/>
      <x:c r="AA4" s="3"/>
      <x:c r="AB4" s="3"/>
    </x:row>
    <x:row r="5" ht="36" customHeight="1">
      <x:c r="A5" s="12" t="str">
        <x:v>Published</x:v>
      </x:c>
      <x:c r="B5" s="13" t="str">
        <x:v>Planned date</x:v>
      </x:c>
      <x:c r="C5" s="13" t="str">
        <x:v>Time IST</x:v>
      </x:c>
      <x:c r="D5" s="13" t="str">
        <x:v>Post ID</x:v>
      </x:c>
      <x:c r="E5" s="13" t="str">
        <x:v>Priority</x:v>
      </x:c>
      <x:c r="F5" s="13" t="str">
        <x:v>Workflow</x:v>
      </x:c>
      <x:c r="G5" s="13" t="str">
        <x:v>Owner</x:v>
      </x:c>
      <x:c r="H5" s="13" t="str">
        <x:v>Post heading</x:v>
      </x:c>
      <x:c r="I5" s="13" t="str">
        <x:v>Full caption / Status text</x:v>
      </x:c>
      <x:c r="J5" s="13" t="str">
        <x:v>Hashtags</x:v>
      </x:c>
      <x:c r="K5" s="13" t="str">
        <x:v>Call to action</x:v>
      </x:c>
      <x:c r="L5" s="13" t="str">
        <x:v>Destination URL</x:v>
      </x:c>
      <x:c r="M5" s="13" t="str">
        <x:v>Format</x:v>
      </x:c>
      <x:c r="N5" s="13" t="str">
        <x:v>On-artwork text / slides</x:v>
      </x:c>
      <x:c r="O5" s="13" t="str">
        <x:v>Graphic / video direction</x:v>
      </x:c>
      <x:c r="P5" s="13" t="str">
        <x:v>Canvas size</x:v>
      </x:c>
      <x:c r="Q5" s="13" t="str">
        <x:v>Suggested alt text</x:v>
      </x:c>
      <x:c r="R5" s="13" t="str">
        <x:v>Before publishing</x:v>
      </x:c>
      <x:c r="S5" s="13" t="str">
        <x:v>Copy approved</x:v>
      </x:c>
      <x:c r="T5" s="13" t="str">
        <x:v>Asset ready</x:v>
      </x:c>
      <x:c r="U5" s="13" t="str">
        <x:v>Link tested</x:v>
      </x:c>
      <x:c r="V5" s="13" t="str">
        <x:v>Actual date</x:v>
      </x:c>
      <x:c r="W5" s="13" t="str">
        <x:v>Published URL</x:v>
      </x:c>
      <x:c r="X5" s="13" t="str">
        <x:v>Reach / views</x:v>
      </x:c>
      <x:c r="Y5" s="13" t="str">
        <x:v>Link clicks</x:v>
      </x:c>
      <x:c r="Z5" s="13" t="str">
        <x:v>Qualified enquiries</x:v>
      </x:c>
      <x:c r="AA5" s="13" t="str">
        <x:v>Notes</x:v>
      </x:c>
      <x:c r="AB5" s="14" t="str">
        <x:v>Fallback caption</x:v>
      </x:c>
    </x:row>
    <x:row r="6" ht="260" customHeight="1">
      <x:c r="A6" s="23" t="str">
        <x:v>☐</x:v>
      </x:c>
      <x:c r="B6" s="24" t="n">
        <x:v>46276</x:v>
      </x:c>
      <x:c r="C6" s="25" t="n">
        <x:v>0.4583333333333333</x:v>
      </x:c>
      <x:c r="D6" s="15" t="str">
        <x:v>S01</x:v>
      </x:c>
      <x:c r="E6" s="15" t="str">
        <x:v>Optional</x:v>
      </x:c>
      <x:c r="F6" s="22" t="str">
        <x:v>Draft</x:v>
      </x:c>
      <x:c r="G6" s="22" t="str"/>
      <x:c r="H6" s="15" t="str">
        <x:v>Business website offer starts 14 September</x:v>
      </x:c>
      <x:c r="I6" s="15" t="str">
        <x:v>Planning a new business website? Digital Launchpad opens on 14 September. We are offering one plan at ₹32,000 + GST, with bookings open until 25 September 2026. Ask for the written scope so you can check whether it fits your business before booking.
Use the profile link to request the offer details.</x:v>
      </x:c>
      <x:c r="J6" s="15" t="str"/>
      <x:c r="K6" s="15" t="str">
        <x:v>Learn more</x:v>
      </x:c>
      <x:c r="L6" s="15" t="str">
        <x:v>https://elan-tech.net/pricing/digital-launchpad/?utm_source=google_business&amp;utm_medium=social&amp;utm_campaign=q4_2026_launchpad&amp;utm_content=s01</x:v>
      </x:c>
      <x:c r="M6" s="15" t="str">
        <x:v>Update + image</x:v>
      </x:c>
      <x:c r="N6" s="15" t="str">
        <x:v>A fresh start for your business online
₹32,000 + GST
14–25 September 2026</x:v>
      </x:c>
      <x:c r="O6" s="15" t="str">
        <x:v>Cream background, orange date strip and blue headline. Build an original desktop-and-phone wireframe, clearly labelled Sample layout. No client screens. Keep + GST as prominent as the price. Use one central focal point and only the headline on image.</x:v>
      </x:c>
      <x:c r="P6" s="15" t="str">
        <x:v>1200 × 900 px</x:v>
      </x:c>
      <x:c r="Q6" s="15" t="str">
        <x:v>A fresh start for your business online. Digital Launchpad opens 14 September. One plan: ₹32,000 + GST. Bookings: 14–25 September 2026. Digital Launchpad costs ₹32,000 plus GST, with bookings from 14 to 25 September 2026. Original illustrative graphic by eLan Technology.</x:v>
      </x:c>
      <x:c r="R6" s="15" t="str">
        <x:v>Approve final scope and offer landing page before publication No client assets or testimonials. No paid promotion. Test the destination and mobile contact journey. Do not add phone numbers to the post body. Preview profile action.</x:v>
      </x:c>
      <x:c r="S6" s="23" t="str">
        <x:v>☐</x:v>
      </x:c>
      <x:c r="T6" s="23" t="str">
        <x:v>☐</x:v>
      </x:c>
      <x:c r="U6" s="23" t="str">
        <x:v>☐</x:v>
      </x:c>
      <x:c r="V6" s="24"/>
      <x:c r="W6" s="22" t="str"/>
      <x:c r="X6" s="26"/>
      <x:c r="Y6" s="26"/>
      <x:c r="Z6" s="26"/>
      <x:c r="AA6" s="22" t="str"/>
      <x:c r="AB6" s="22" t="str"/>
    </x:row>
    <x:row r="7" ht="260" customHeight="1">
      <x:c r="A7" s="23" t="str">
        <x:v>☐</x:v>
      </x:c>
      <x:c r="B7" s="24" t="n">
        <x:v>46279</x:v>
      </x:c>
      <x:c r="C7" s="25" t="n">
        <x:v>0.4583333333333333</x:v>
      </x:c>
      <x:c r="D7" s="3" t="str">
        <x:v>S02</x:v>
      </x:c>
      <x:c r="E7" s="3" t="str">
        <x:v>Core</x:v>
      </x:c>
      <x:c r="F7" s="22" t="str">
        <x:v>Draft</x:v>
      </x:c>
      <x:c r="G7" s="22" t="str"/>
      <x:c r="H7" s="3" t="str">
        <x:v>Digital Launchpad is open: ₹32,000 + GST</x:v>
      </x:c>
      <x:c r="I7" s="3" t="str">
        <x:v>Ready to plan your business website? Digital Launchpad bookings are now open at ₹32,000 + GST until 25 September 2026. Tell us what your business does and what your website needs to help customers do. We will share the package scope and booking terms so you can decide if it is the right fit.
Use View Offer to read the scope and booking terms.</x:v>
      </x:c>
      <x:c r="J7" s="3" t="str"/>
      <x:c r="K7" s="3" t="str">
        <x:v>View Offer</x:v>
      </x:c>
      <x:c r="L7" s="3" t="str">
        <x:v>https://elan-tech.net/pricing/digital-launchpad/?utm_source=google_business&amp;utm_medium=social&amp;utm_campaign=q4_2026_launchpad&amp;utm_content=s02</x:v>
      </x:c>
      <x:c r="M7" s="3" t="str">
        <x:v>Offer + image</x:v>
      </x:c>
      <x:c r="N7" s="3" t="str">
        <x:v>Digital Launchpad is open: ₹32,000 + GST
₹32,000 + GST
14–25 September 2026</x:v>
      </x:c>
      <x:c r="O7" s="3" t="str">
        <x:v>Price-led poster with a clean rectangular sample browser. Large ₹32,000, visible + GST beside it, booking dates below. Avoid a long feature list until inclusions are approved. Use one central focal point and only the headline on image.</x:v>
      </x:c>
      <x:c r="P7" s="3" t="str">
        <x:v>1200 × 900 px</x:v>
      </x:c>
      <x:c r="Q7" s="3" t="str">
        <x:v>Digital Launchpad is open: ₹32,000 + GST. Digital Launchpad is now open. ₹32,000 + GST. 14–25 September 2026. Digital Launchpad costs ₹32,000 plus GST, with bookings from 14 to 25 September 2026. Original illustrative graphic by eLan Technology.</x:v>
      </x:c>
      <x:c r="R7" s="3" t="str">
        <x:v>Approve scope, payment terms and offer page; GBP Offer ends 25 September 2026 No client assets or testimonials. No paid promotion. Test the destination and mobile contact journey. Do not add phone numbers to the post body. Preview profile action.</x:v>
      </x:c>
      <x:c r="S7" s="23" t="str">
        <x:v>☐</x:v>
      </x:c>
      <x:c r="T7" s="23" t="str">
        <x:v>☐</x:v>
      </x:c>
      <x:c r="U7" s="23" t="str">
        <x:v>☐</x:v>
      </x:c>
      <x:c r="V7" s="24"/>
      <x:c r="W7" s="22" t="str"/>
      <x:c r="X7" s="26"/>
      <x:c r="Y7" s="26"/>
      <x:c r="Z7" s="26"/>
      <x:c r="AA7" s="22" t="str"/>
      <x:c r="AB7" s="22" t="str"/>
    </x:row>
    <x:row r="8" ht="260" customHeight="1">
      <x:c r="A8" s="23" t="str">
        <x:v>☐</x:v>
      </x:c>
      <x:c r="B8" s="24" t="n">
        <x:v>46281</x:v>
      </x:c>
      <x:c r="C8" s="25" t="n">
        <x:v>0.4583333333333333</x:v>
      </x:c>
      <x:c r="D8" s="15" t="str">
        <x:v>S03</x:v>
      </x:c>
      <x:c r="E8" s="15" t="str">
        <x:v>Optional</x:v>
      </x:c>
      <x:c r="F8" s="22" t="str">
        <x:v>Draft</x:v>
      </x:c>
      <x:c r="G8" s="22" t="str"/>
      <x:c r="H8" s="15" t="str">
        <x:v>Before booking, know what is included</x:v>
      </x:c>
      <x:c r="I8" s="15" t="str">
        <x:v>A website package is easier to compare when the details are clear. Ask about pages, content, revisions, hosting, support and anything charged separately. Digital Launchpad is ₹32,000 + GST, with bookings open until 25 September 2026. Message us for the written scope before you decide.
Use the profile link to ask for the package scope.</x:v>
      </x:c>
      <x:c r="J8" s="15" t="str"/>
      <x:c r="K8" s="15" t="str">
        <x:v>Learn more</x:v>
      </x:c>
      <x:c r="L8" s="15" t="str">
        <x:v>https://elan-tech.net/pricing/digital-launchpad/?utm_source=google_business&amp;utm_medium=social&amp;utm_campaign=q4_2026_launchpad&amp;utm_content=s03</x:v>
      </x:c>
      <x:c r="M8" s="15" t="str">
        <x:v>Update + image</x:v>
      </x:c>
      <x:c r="N8" s="15" t="str">
        <x:v>Before booking, know what is included
₹32,000 + GST
14–25 September 2026</x:v>
      </x:c>
      <x:c r="O8" s="15" t="str">
        <x:v>Five-slide checklist. Each slide asks one scope question. Use outlined page, pencil, server and document symbols. Do not portray a question as an included feature. Use one central focal point and only the headline on image.</x:v>
      </x:c>
      <x:c r="P8" s="15" t="str">
        <x:v>1200 × 900 px</x:v>
      </x:c>
      <x:c r="Q8" s="15" t="str">
        <x:v>Before booking, know what is included. What does the package cover?. Check pages, content and revisions. Check hosting and ongoing support. Digital Launchpad costs ₹32,000 plus GST, with bookings from 14 to 25 September 2026. Original illustrative graphic by eLan Technology.</x:v>
      </x:c>
      <x:c r="R8" s="15" t="str">
        <x:v>Written scope must be approved; do not insert unconfirmed inclusions No client assets or testimonials. No paid promotion. Test the destination and mobile contact journey. Do not add phone numbers to the post body. Preview profile action.</x:v>
      </x:c>
      <x:c r="S8" s="23" t="str">
        <x:v>☐</x:v>
      </x:c>
      <x:c r="T8" s="23" t="str">
        <x:v>☐</x:v>
      </x:c>
      <x:c r="U8" s="23" t="str">
        <x:v>☐</x:v>
      </x:c>
      <x:c r="V8" s="24"/>
      <x:c r="W8" s="22" t="str"/>
      <x:c r="X8" s="26"/>
      <x:c r="Y8" s="26"/>
      <x:c r="Z8" s="26"/>
      <x:c r="AA8" s="22" t="str"/>
      <x:c r="AB8" s="22" t="str"/>
    </x:row>
    <x:row r="9" ht="260" customHeight="1">
      <x:c r="A9" s="23" t="str">
        <x:v>☐</x:v>
      </x:c>
      <x:c r="B9" s="24" t="n">
        <x:v>46283</x:v>
      </x:c>
      <x:c r="C9" s="25" t="n">
        <x:v>0.4583333333333333</x:v>
      </x:c>
      <x:c r="D9" s="3" t="str">
        <x:v>S04</x:v>
      </x:c>
      <x:c r="E9" s="3" t="str">
        <x:v>Optional</x:v>
      </x:c>
      <x:c r="F9" s="22" t="str">
        <x:v>Draft</x:v>
      </x:c>
      <x:c r="G9" s="22" t="str"/>
      <x:c r="H9" s="3" t="str">
        <x:v>Make it easy for visitors to enquire</x:v>
      </x:c>
      <x:c r="I9" s="3" t="str">
        <x:v>Can a visitor quickly understand your services and find the next step on a phone? Clear service information, easy-to-find contact options and a tested enquiry form are good places to start. This example is a demonstration, not a client website. Planning your own site? Ask about Digital Launchpad at ₹32,000 + GST before bookings close on 25 September.
Use the profile link to request the offer details.</x:v>
      </x:c>
      <x:c r="J9" s="3" t="str"/>
      <x:c r="K9" s="3" t="str">
        <x:v>Learn more</x:v>
      </x:c>
      <x:c r="L9" s="3" t="str">
        <x:v>https://elan-tech.net/pricing/digital-launchpad/?utm_source=google_business&amp;utm_medium=social&amp;utm_campaign=q4_2026_launchpad&amp;utm_content=s04</x:v>
      </x:c>
      <x:c r="M9" s="3" t="str">
        <x:v>Update + image</x:v>
      </x:c>
      <x:c r="N9" s="3" t="str">
        <x:v>Make it easy for visitors to enquire
₹32,000 + GST
14–25 September 2026</x:v>
      </x:c>
      <x:c r="O9" s="3" t="str">
        <x:v>25-second screen recording of an original sample site. Show service, contact route and a sandbox form confirmation. Persistent Demonstration label. Never show a real lead or inbox. Use one central focal point and only the headline on image.</x:v>
      </x:c>
      <x:c r="P9" s="3" t="str">
        <x:v>1200 × 900 px</x:v>
      </x:c>
      <x:c r="Q9" s="3" t="str">
        <x:v>Make it easy for visitors to enquire. Can visitors understand your service?. Can they find contact options on mobile?. Does the enquiry reach your inbox?. Digital Launchpad costs ₹32,000 plus GST, with bookings from 14 to 25 September 2026. Original illustrative graphic by eLan Technology.</x:v>
      </x:c>
      <x:c r="R9" s="3" t="str">
        <x:v>Test the demo; approve offer scope; no claim of guaranteed enquiries No client assets or testimonials. No paid promotion. Test the destination and mobile contact journey. Do not add phone numbers to the post body. Preview profile action.</x:v>
      </x:c>
      <x:c r="S9" s="23" t="str">
        <x:v>☐</x:v>
      </x:c>
      <x:c r="T9" s="23" t="str">
        <x:v>☐</x:v>
      </x:c>
      <x:c r="U9" s="23" t="str">
        <x:v>☐</x:v>
      </x:c>
      <x:c r="V9" s="24"/>
      <x:c r="W9" s="22" t="str"/>
      <x:c r="X9" s="26"/>
      <x:c r="Y9" s="26"/>
      <x:c r="Z9" s="26"/>
      <x:c r="AA9" s="22" t="str"/>
      <x:c r="AB9" s="22" t="str"/>
    </x:row>
    <x:row r="10" ht="260" customHeight="1">
      <x:c r="A10" s="23" t="str">
        <x:v>☐</x:v>
      </x:c>
      <x:c r="B10" s="24" t="n">
        <x:v>46286</x:v>
      </x:c>
      <x:c r="C10" s="25" t="n">
        <x:v>0.4583333333333333</x:v>
      </x:c>
      <x:c r="D10" s="15" t="str">
        <x:v>S05</x:v>
      </x:c>
      <x:c r="E10" s="15" t="str">
        <x:v>Optional</x:v>
      </x:c>
      <x:c r="F10" s="22" t="str">
        <x:v>Draft</x:v>
      </x:c>
      <x:c r="G10" s="22" t="str"/>
      <x:c r="H10" s="15" t="str">
        <x:v>Five questions before you book a website</x:v>
      </x:c>
      <x:c r="I10" s="15" t="str">
        <x:v>Who supplies the content? How are revisions handled? What renews each year? What will you receive at handover? What affects the delivery date? Save these questions for your next website conversation. Digital Launchpad bookings close on 25 September 2026 at ₹32,000 + GST. Ask us how the written scope addresses your needs.
Use the profile link to discuss your website requirements.</x:v>
      </x:c>
      <x:c r="J10" s="15" t="str"/>
      <x:c r="K10" s="15" t="str">
        <x:v>Learn more</x:v>
      </x:c>
      <x:c r="L10" s="15" t="str">
        <x:v>https://elan-tech.net/pricing/digital-launchpad/?utm_source=google_business&amp;utm_medium=social&amp;utm_campaign=q4_2026_launchpad&amp;utm_content=s05</x:v>
      </x:c>
      <x:c r="M10" s="15" t="str">
        <x:v>Update + image</x:v>
      </x:c>
      <x:c r="N10" s="15" t="str">
        <x:v>Five questions before you book a website
₹32,000 + GST
14–25 September 2026</x:v>
      </x:c>
      <x:c r="O10" s="15" t="str">
        <x:v>Five numbered rectangular question cards, with a sixth closing panel. Blue type on white, restrained orange number blocks. Put the offer only on the closing slide. Use one central focal point and only the headline on image.</x:v>
      </x:c>
      <x:c r="P10" s="15" t="str">
        <x:v>1200 × 900 px</x:v>
      </x:c>
      <x:c r="Q10" s="15" t="str">
        <x:v>Five questions before you book a website. Who provides the content?. How many revisions are agreed?. Which costs renew?. Digital Launchpad costs ₹32,000 plus GST, with bookings from 14 to 25 September 2026. Original illustrative graphic by eLan Technology.</x:v>
      </x:c>
      <x:c r="R10" s="15" t="str">
        <x:v>Confirm contractual wording and offer scope No client assets or testimonials. No paid promotion. Test the destination and mobile contact journey. Do not add phone numbers to the post body. Preview profile action.</x:v>
      </x:c>
      <x:c r="S10" s="23" t="str">
        <x:v>☐</x:v>
      </x:c>
      <x:c r="T10" s="23" t="str">
        <x:v>☐</x:v>
      </x:c>
      <x:c r="U10" s="23" t="str">
        <x:v>☐</x:v>
      </x:c>
      <x:c r="V10" s="24"/>
      <x:c r="W10" s="22" t="str"/>
      <x:c r="X10" s="26"/>
      <x:c r="Y10" s="26"/>
      <x:c r="Z10" s="26"/>
      <x:c r="AA10" s="22" t="str"/>
      <x:c r="AB10" s="22" t="str"/>
    </x:row>
    <x:row r="11" ht="260" customHeight="1">
      <x:c r="A11" s="23" t="str">
        <x:v>☐</x:v>
      </x:c>
      <x:c r="B11" s="24" t="n">
        <x:v>46288</x:v>
      </x:c>
      <x:c r="C11" s="25" t="n">
        <x:v>0.4583333333333333</x:v>
      </x:c>
      <x:c r="D11" s="3" t="str">
        <x:v>S06</x:v>
      </x:c>
      <x:c r="E11" s="3" t="str">
        <x:v>Core</x:v>
      </x:c>
      <x:c r="F11" s="22" t="str">
        <x:v>Draft</x:v>
      </x:c>
      <x:c r="G11" s="22" t="str"/>
      <x:c r="H11" s="3" t="str">
        <x:v>Launchpad questions, answered</x:v>
      </x:c>
      <x:c r="I11" s="3" t="str">
        <x:v>Not sure whether Digital Launchpad suits your project? Start with three questions: what do you need the website to do, what content is ready, and what ongoing support will you need? We can then compare your requirements with the written package scope. The offer is ₹32,000 + GST and closes for bookings on 25 September 2026.
Use the profile link to ask about the offer.</x:v>
      </x:c>
      <x:c r="J11" s="3" t="str"/>
      <x:c r="K11" s="3" t="str">
        <x:v>Learn more</x:v>
      </x:c>
      <x:c r="L11" s="3" t="str">
        <x:v>https://elan-tech.net/pricing/digital-launchpad/?utm_source=google_business&amp;utm_medium=social&amp;utm_campaign=q4_2026_launchpad&amp;utm_content=s06</x:v>
      </x:c>
      <x:c r="M11" s="3" t="str">
        <x:v>Update + image</x:v>
      </x:c>
      <x:c r="N11" s="3" t="str">
        <x:v>Your Launchpad questions, answered
₹32,000 + GST
14–25 September 2026</x:v>
      </x:c>
      <x:c r="O11" s="3" t="str">
        <x:v>Founder video, 25–35 seconds, bright uncluttered setting. Add three question captions and a final date/price card. Say Common questions, not You asked, unless questions were received. Use one central focal point and only the headline on image.</x:v>
      </x:c>
      <x:c r="P11" s="3" t="str">
        <x:v>1200 × 900 px</x:v>
      </x:c>
      <x:c r="Q11" s="3" t="str">
        <x:v>Your Launchpad questions, answered. What should the website help people do?. What content is ready?. What support will you need?. Digital Launchpad costs ₹32,000 plus GST, with bookings from 14 to 25 September 2026. Original illustrative graphic by eLan Technology.</x:v>
      </x:c>
      <x:c r="R11" s="3" t="str">
        <x:v>Approve answers against actual package terms No client assets or testimonials. No paid promotion. Test the destination and mobile contact journey. Do not add phone numbers to the post body. Preview profile action.</x:v>
      </x:c>
      <x:c r="S11" s="23" t="str">
        <x:v>☐</x:v>
      </x:c>
      <x:c r="T11" s="23" t="str">
        <x:v>☐</x:v>
      </x:c>
      <x:c r="U11" s="23" t="str">
        <x:v>☐</x:v>
      </x:c>
      <x:c r="V11" s="24"/>
      <x:c r="W11" s="22" t="str"/>
      <x:c r="X11" s="26"/>
      <x:c r="Y11" s="26"/>
      <x:c r="Z11" s="26"/>
      <x:c r="AA11" s="22" t="str"/>
      <x:c r="AB11" s="22" t="str"/>
    </x:row>
    <x:row r="12" ht="260" customHeight="1">
      <x:c r="A12" s="23" t="str">
        <x:v>☐</x:v>
      </x:c>
      <x:c r="B12" s="24" t="n">
        <x:v>46290</x:v>
      </x:c>
      <x:c r="C12" s="25" t="n">
        <x:v>0.4583333333333333</x:v>
      </x:c>
      <x:c r="D12" s="15" t="str">
        <x:v>S07</x:v>
      </x:c>
      <x:c r="E12" s="15" t="str">
        <x:v>Optional</x:v>
      </x:c>
      <x:c r="F12" s="22" t="str">
        <x:v>Draft</x:v>
      </x:c>
      <x:c r="G12" s="22" t="str"/>
      <x:c r="H12" s="15" t="str">
        <x:v>Last day for Digital Launchpad bookings</x:v>
      </x:c>
      <x:c r="I12" s="15" t="str">
        <x:v>Digital Launchpad bookings close today, 25 September 2026. The plan is ₹32,000 + GST. If you are considering it, request the written scope and booking terms today so you can make an informed decision. Work outside the agreed scope is quoted separately.
Use the profile link to request the offer details today.</x:v>
      </x:c>
      <x:c r="J12" s="15" t="str"/>
      <x:c r="K12" s="15" t="str">
        <x:v>Learn more</x:v>
      </x:c>
      <x:c r="L12" s="15" t="str">
        <x:v>https://elan-tech.net/pricing/digital-launchpad/?utm_source=google_business&amp;utm_medium=social&amp;utm_campaign=q4_2026_launchpad&amp;utm_content=s07</x:v>
      </x:c>
      <x:c r="M12" s="15" t="str">
        <x:v>Update + image</x:v>
      </x:c>
      <x:c r="N12" s="15" t="str">
        <x:v>Last day for Digital Launchpad bookings
₹32,000 + GST
14–25 September 2026</x:v>
      </x:c>
      <x:c r="O12" s="15" t="str">
        <x:v>One bold closing-date graphic. White, blue and orange. No countdown counter, remaining-slot claim or invented cutoff time. Create an expired version for the landing page after closure. Use one central focal point and only the headline on image.</x:v>
      </x:c>
      <x:c r="P12" s="15" t="str">
        <x:v>1200 × 900 px</x:v>
      </x:c>
      <x:c r="Q12" s="15" t="str">
        <x:v>Last day for Digital Launchpad bookings. Bookings close today. 25 September 2026. ₹32,000 + GST. Digital Launchpad costs ₹32,000 plus GST, with bookings from 14 to 25 September 2026. Original illustrative graphic by eLan Technology.</x:v>
      </x:c>
      <x:c r="R12" s="15" t="str">
        <x:v>Confirm closing time and booking conditions; remove active promotion after expiry No client assets or testimonials. No paid promotion. Test the destination and mobile contact journey. Do not add phone numbers to the post body. Preview profile action.</x:v>
      </x:c>
      <x:c r="S12" s="23" t="str">
        <x:v>☐</x:v>
      </x:c>
      <x:c r="T12" s="23" t="str">
        <x:v>☐</x:v>
      </x:c>
      <x:c r="U12" s="23" t="str">
        <x:v>☐</x:v>
      </x:c>
      <x:c r="V12" s="24"/>
      <x:c r="W12" s="22" t="str"/>
      <x:c r="X12" s="26"/>
      <x:c r="Y12" s="26"/>
      <x:c r="Z12" s="26"/>
      <x:c r="AA12" s="22" t="str"/>
      <x:c r="AB12" s="22" t="str"/>
    </x:row>
    <x:row r="13" ht="260" customHeight="1">
      <x:c r="A13" s="23" t="str">
        <x:v>☐</x:v>
      </x:c>
      <x:c r="B13" s="24" t="n">
        <x:v>46294</x:v>
      </x:c>
      <x:c r="C13" s="25" t="n">
        <x:v>0.4583333333333333</x:v>
      </x:c>
      <x:c r="D13" s="3" t="str">
        <x:v>S08</x:v>
      </x:c>
      <x:c r="E13" s="3" t="str">
        <x:v>Core</x:v>
      </x:c>
      <x:c r="F13" s="22" t="str">
        <x:v>Draft</x:v>
      </x:c>
      <x:c r="G13" s="22" t="str"/>
      <x:c r="H13" s="3" t="str">
        <x:v>A Shopify store should feel like your business</x:v>
      </x:c>
      <x:c r="I13" s="3" t="str">
        <x:v>A custom storefront starts with how your customers browse and buy. Think clear collections, useful product information, easy mobile navigation and a checkout journey that makes sense. We design and develop custom Shopify stores around the business behind them. Have a store in mind? Tell us what you sell and what needs to work better.
Use the profile link to request a Shopify quote.</x:v>
      </x:c>
      <x:c r="J13" s="3" t="str"/>
      <x:c r="K13" s="3" t="str">
        <x:v>Learn more</x:v>
      </x:c>
      <x:c r="L13" s="3" t="str">
        <x:v>https://elan-tech.net/services/ecommerce/shopify-development/?utm_source=google_business&amp;utm_medium=social&amp;utm_campaign=q4_2026_shopify&amp;utm_content=s08</x:v>
      </x:c>
      <x:c r="M13" s="3" t="str">
        <x:v>Update + image</x:v>
      </x:c>
      <x:c r="N13" s="3" t="str">
        <x:v>A Shopify store should feel like your business
Start with the shopping journey</x:v>
      </x:c>
      <x:c r="O13" s="3" t="str">
        <x:v>Five-slide original shop wireframe using neutral sample products. Green accent, cream background. Zoom into collection, product details and mobile menu. Label all screens Demonstration. Use one central focal point and only the headline on image.</x:v>
      </x:c>
      <x:c r="P13" s="3" t="str">
        <x:v>1200 × 900 px</x:v>
      </x:c>
      <x:c r="Q13" s="3" t="str">
        <x:v>A Shopify store should feel like your business. Start with the shopping journey. Organise products clearly. Answer questions on product pages. Original illustrative graphic by eLan Technology.</x:v>
      </x:c>
      <x:c r="R13" s="3" t="str">
        <x:v>Standard approval No client assets or testimonials. No paid promotion. Test the destination and mobile contact journey. Do not add phone numbers to the post body. Preview profile action.</x:v>
      </x:c>
      <x:c r="S13" s="23" t="str">
        <x:v>☐</x:v>
      </x:c>
      <x:c r="T13" s="23" t="str">
        <x:v>☐</x:v>
      </x:c>
      <x:c r="U13" s="23" t="str">
        <x:v>☐</x:v>
      </x:c>
      <x:c r="V13" s="24"/>
      <x:c r="W13" s="22" t="str"/>
      <x:c r="X13" s="26"/>
      <x:c r="Y13" s="26"/>
      <x:c r="Z13" s="26"/>
      <x:c r="AA13" s="22" t="str"/>
      <x:c r="AB13" s="22" t="str"/>
    </x:row>
    <x:row r="14" ht="260" customHeight="1">
      <x:c r="A14" s="23" t="str">
        <x:v>☐</x:v>
      </x:c>
      <x:c r="B14" s="24" t="n">
        <x:v>46297</x:v>
      </x:c>
      <x:c r="C14" s="25" t="n">
        <x:v>0.4583333333333333</x:v>
      </x:c>
      <x:c r="D14" s="15" t="str">
        <x:v>O01</x:v>
      </x:c>
      <x:c r="E14" s="15" t="str">
        <x:v>Optional</x:v>
      </x:c>
      <x:c r="F14" s="22" t="str">
        <x:v>Hold</x:v>
      </x:c>
      <x:c r="G14" s="22" t="str"/>
      <x:c r="H14" s="15" t="str">
        <x:v>One link for your business details</x:v>
      </x:c>
      <x:c r="I14" s="15" t="str">
        <x:v>We are preparing a digital business card subscription from eLan Technology. The idea is simple: make it easier to share your business details through a digital profile. This is a preview, not a launch announcement. Want to see it when it is ready? Send us a message. Subscription prices will be quoted + GST.
Use the profile link to express interest in the digital card.</x:v>
      </x:c>
      <x:c r="J14" s="15" t="str"/>
      <x:c r="K14" s="15" t="str">
        <x:v>Learn more</x:v>
      </x:c>
      <x:c r="L14" s="15" t="str">
        <x:v>https://elan-tech.net/contact/?utm_source=google_business&amp;utm_medium=social&amp;utm_campaign=q4_2026_digital_card&amp;utm_content=o01</x:v>
      </x:c>
      <x:c r="M14" s="15" t="str">
        <x:v>Update + image</x:v>
      </x:c>
      <x:c r="N14" s="15" t="str">
        <x:v>One link for your business details
A digital business card is in preparation</x:v>
      </x:c>
      <x:c r="O14" s="15" t="str">
        <x:v>15-second actual preview recording with fictional sample data. Show only a tested profile and working sharing action. Preview label throughout. Do not publish an unverified domain. Use one central focal point and only the headline on image.</x:v>
      </x:c>
      <x:c r="P14" s="15" t="str">
        <x:v>1200 × 900 px</x:v>
      </x:c>
      <x:c r="Q14" s="15" t="str">
        <x:v>One link for your business details. A digital business card is in preparation. Preview only. Final features and plans will follow. Original illustrative graphic by eLan Technology.</x:v>
      </x:c>
      <x:c r="R14" s="15" t="str">
        <x:v>Confirm working preview and approved brand/domain; not a public launch No client assets or testimonials. No paid promotion. Test the destination and mobile contact journey. Do not add phone numbers to the post body. Preview profile action.</x:v>
      </x:c>
      <x:c r="S14" s="23" t="str">
        <x:v>☐</x:v>
      </x:c>
      <x:c r="T14" s="23" t="str">
        <x:v>☐</x:v>
      </x:c>
      <x:c r="U14" s="23" t="str">
        <x:v>☐</x:v>
      </x:c>
      <x:c r="V14" s="24"/>
      <x:c r="W14" s="22" t="str"/>
      <x:c r="X14" s="26"/>
      <x:c r="Y14" s="26"/>
      <x:c r="Z14" s="26"/>
      <x:c r="AA14" s="22" t="str"/>
      <x:c r="AB14"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15" ht="260" customHeight="1">
      <x:c r="A15" s="23" t="str">
        <x:v>☐</x:v>
      </x:c>
      <x:c r="B15" s="24" t="n">
        <x:v>46301</x:v>
      </x:c>
      <x:c r="C15" s="25" t="n">
        <x:v>0.4583333333333333</x:v>
      </x:c>
      <x:c r="D15" s="3" t="str">
        <x:v>O02</x:v>
      </x:c>
      <x:c r="E15" s="3" t="str">
        <x:v>Core</x:v>
      </x:c>
      <x:c r="F15" s="22" t="str">
        <x:v>Draft</x:v>
      </x:c>
      <x:c r="G15" s="22" t="str"/>
      <x:c r="H15" s="3" t="str">
        <x:v>Connect the store to the work behind it</x:v>
      </x:c>
      <x:c r="I15" s="3" t="str">
        <x:v>An online store has work to do after a customer presses Buy. Subscription rules, payment confirmation and shipping updates need to fit together. We help plan custom commerce around those everyday operations. This diagram is illustrative. Tell us which part of your workflow currently needs manual effort.
Use the profile link to discuss custom commerce.</x:v>
      </x:c>
      <x:c r="J15" s="3" t="str"/>
      <x:c r="K15" s="3" t="str">
        <x:v>Learn more</x:v>
      </x:c>
      <x:c r="L15" s="3" t="str">
        <x:v>https://elan-tech.net/services/ecommerce/?utm_source=google_business&amp;utm_medium=social&amp;utm_campaign=q4_2026_commerce&amp;utm_content=o02</x:v>
      </x:c>
      <x:c r="M15" s="3" t="str">
        <x:v>Update + image</x:v>
      </x:c>
      <x:c r="N15" s="3" t="str">
        <x:v>Connect the store to the work behind it
Customer places an order</x:v>
      </x:c>
      <x:c r="O15" s="3" t="str">
        <x:v>Four-part original flow diagram with labelled arrows and one exception branch for payment failure. Indigo and teal accents. No client screens, order values or provider endorsement. Use one central focal point and only the headline on image.</x:v>
      </x:c>
      <x:c r="P15" s="3" t="str">
        <x:v>1200 × 900 px</x:v>
      </x:c>
      <x:c r="Q15" s="3" t="str">
        <x:v>Connect the store to the work behind it. Customer places an order. Payment status is checked. Subscription rules apply where needed. Original illustrative graphic by eLan Technology.</x:v>
      </x:c>
      <x:c r="R15" s="3" t="str">
        <x:v>Standard approval No client assets or testimonials. No paid promotion. Test the destination and mobile contact journey. Do not add phone numbers to the post body. Preview profile action.</x:v>
      </x:c>
      <x:c r="S15" s="23" t="str">
        <x:v>☐</x:v>
      </x:c>
      <x:c r="T15" s="23" t="str">
        <x:v>☐</x:v>
      </x:c>
      <x:c r="U15" s="23" t="str">
        <x:v>☐</x:v>
      </x:c>
      <x:c r="V15" s="24"/>
      <x:c r="W15" s="22" t="str"/>
      <x:c r="X15" s="26"/>
      <x:c r="Y15" s="26"/>
      <x:c r="Z15" s="26"/>
      <x:c r="AA15" s="22" t="str"/>
      <x:c r="AB15" s="22" t="str"/>
    </x:row>
    <x:row r="16" ht="260" customHeight="1">
      <x:c r="A16" s="23" t="str">
        <x:v>☐</x:v>
      </x:c>
      <x:c r="B16" s="24" t="n">
        <x:v>46304</x:v>
      </x:c>
      <x:c r="C16" s="25" t="n">
        <x:v>0.4583333333333333</x:v>
      </x:c>
      <x:c r="D16" s="15" t="str">
        <x:v>O03</x:v>
      </x:c>
      <x:c r="E16" s="15" t="str">
        <x:v>Optional</x:v>
      </x:c>
      <x:c r="F16" s="22" t="str">
        <x:v>Draft</x:v>
      </x:c>
      <x:c r="G16" s="22" t="str"/>
      <x:c r="H16" s="15" t="str">
        <x:v>Can your website be used without a mouse?</x:v>
      </x:c>
      <x:c r="I16" s="15" t="str">
        <x:v>Try opening your website and using only the keyboard. Can you reach the menu, see where focus is, and complete the contact form? These checks can reveal barriers worth investigating. They are a starting point, not a compliance certificate. We can help assess accessibility issues and plan improvements.
Use the profile link to request an accessibility assessment.</x:v>
      </x:c>
      <x:c r="J16" s="15" t="str"/>
      <x:c r="K16" s="15" t="str">
        <x:v>Learn more</x:v>
      </x:c>
      <x:c r="L16" s="15" t="str">
        <x:v>https://elan-tech.net/services/ada-compliant-web-design/?utm_source=google_business&amp;utm_medium=social&amp;utm_campaign=q4_2026_accessibility&amp;utm_content=o03</x:v>
      </x:c>
      <x:c r="M16" s="15" t="str">
        <x:v>Update + image</x:v>
      </x:c>
      <x:c r="N16" s="15" t="str">
        <x:v>Can your website be used without a mouse?
Put the mouse aside</x:v>
      </x:c>
      <x:c r="O16" s="15" t="str">
        <x:v>25-second original demo. Show a clear focus outline moving through a menu and form. Add keypress captions. Teal on white, no fear imagery or lawsuit figures. Use one central focal point and only the headline on image.</x:v>
      </x:c>
      <x:c r="P16" s="15" t="str">
        <x:v>1200 × 900 px</x:v>
      </x:c>
      <x:c r="Q16" s="15" t="str">
        <x:v>Can your website be used without a mouse?. Put the mouse aside. Use Tab to move through the page. Look for visible focus. Original illustrative graphic by eLan Technology.</x:v>
      </x:c>
      <x:c r="R16" s="15" t="str">
        <x:v>Standard approval No client assets or testimonials. No paid promotion. Test the destination and mobile contact journey. Do not add phone numbers to the post body. Preview profile action.</x:v>
      </x:c>
      <x:c r="S16" s="23" t="str">
        <x:v>☐</x:v>
      </x:c>
      <x:c r="T16" s="23" t="str">
        <x:v>☐</x:v>
      </x:c>
      <x:c r="U16" s="23" t="str">
        <x:v>☐</x:v>
      </x:c>
      <x:c r="V16" s="24"/>
      <x:c r="W16" s="22" t="str"/>
      <x:c r="X16" s="26"/>
      <x:c r="Y16" s="26"/>
      <x:c r="Z16" s="26"/>
      <x:c r="AA16" s="22" t="str"/>
      <x:c r="AB16" s="22" t="str"/>
    </x:row>
    <x:row r="17" ht="260" customHeight="1">
      <x:c r="A17" s="23" t="str">
        <x:v>☐</x:v>
      </x:c>
      <x:c r="B17" s="24" t="n">
        <x:v>46308</x:v>
      </x:c>
      <x:c r="C17" s="25" t="n">
        <x:v>0.4583333333333333</x:v>
      </x:c>
      <x:c r="D17" s="3" t="str">
        <x:v>O04</x:v>
      </x:c>
      <x:c r="E17" s="3" t="str">
        <x:v>Optional</x:v>
      </x:c>
      <x:c r="F17" s="22" t="str">
        <x:v>Hold</x:v>
      </x:c>
      <x:c r="G17" s="22" t="str"/>
      <x:c r="H17" s="3" t="str">
        <x:v>Help us test a simpler business introduction</x:v>
      </x:c>
      <x:c r="I17" s="3" t="str">
        <x:v>We are inviting expressions of interest for a small digital business card pilot. We want to understand whether the setup and sharing journey is clear. If you would like to take part, message us for the pilot scope and terms. Access is subject to readiness and availability. Subscription prices, when offered, will be quoted + GST.
Use the profile link to ask about the pilot.</x:v>
      </x:c>
      <x:c r="J17" s="3" t="str"/>
      <x:c r="K17" s="3" t="str">
        <x:v>Learn more</x:v>
      </x:c>
      <x:c r="L17" s="3" t="str">
        <x:v>https://elan-tech.net/contact/?utm_source=google_business&amp;utm_medium=social&amp;utm_campaign=q4_2026_digital_card&amp;utm_content=o04</x:v>
      </x:c>
      <x:c r="M17" s="3" t="str">
        <x:v>Update + image</x:v>
      </x:c>
      <x:c r="N17" s="3" t="str">
        <x:v>Help us test a simpler business introduction
Interested in a digital card pilot?</x:v>
      </x:c>
      <x:c r="O17" s="3" t="str">
        <x:v>Three-screen walkthrough with fictional data. Show only working steps. Closing card invites interest, with no free-forever or guaranteed access claim. Use one central focal point and only the headline on image.</x:v>
      </x:c>
      <x:c r="P17" s="3" t="str">
        <x:v>1200 × 900 px</x:v>
      </x:c>
      <x:c r="Q17" s="3" t="str">
        <x:v>Help us test a simpler business introduction. Interested in a digital card pilot?. Test the setup journey. Check the profile details. Original illustrative graphic by eLan Technology.</x:v>
      </x:c>
      <x:c r="R17" s="3" t="str">
        <x:v>Pilot must be approved, functional and have written terms before invitations No client assets or testimonials. No paid promotion. Test the destination and mobile contact journey. Do not add phone numbers to the post body. Preview profile action.</x:v>
      </x:c>
      <x:c r="S17" s="23" t="str">
        <x:v>☐</x:v>
      </x:c>
      <x:c r="T17" s="23" t="str">
        <x:v>☐</x:v>
      </x:c>
      <x:c r="U17" s="23" t="str">
        <x:v>☐</x:v>
      </x:c>
      <x:c r="V17" s="24"/>
      <x:c r="W17" s="22" t="str"/>
      <x:c r="X17" s="26"/>
      <x:c r="Y17" s="26"/>
      <x:c r="Z17" s="26"/>
      <x:c r="AA17" s="22" t="str"/>
      <x:c r="AB17"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18" ht="260" customHeight="1">
      <x:c r="A18" s="23" t="str">
        <x:v>☐</x:v>
      </x:c>
      <x:c r="B18" s="24" t="n">
        <x:v>46311</x:v>
      </x:c>
      <x:c r="C18" s="25" t="n">
        <x:v>0.4583333333333333</x:v>
      </x:c>
      <x:c r="D18" s="15" t="str">
        <x:v>O05</x:v>
      </x:c>
      <x:c r="E18" s="15" t="str">
        <x:v>Core</x:v>
      </x:c>
      <x:c r="F18" s="22" t="str">
        <x:v>Draft</x:v>
      </x:c>
      <x:c r="G18" s="22" t="str"/>
      <x:c r="H18" s="15" t="str">
        <x:v>What should a website quote explain?</x:v>
      </x:c>
      <x:c r="I18" s="15" t="str">
        <x:v>A useful quote tells you what will be built, what you need to provide, what support covers and what costs extra. It should also explain revisions, handover and payment terms. Keep this checklist for your next project. If you need a business website, share the brief and ask us for a scoped quote.
Use the profile link to request a scoped website quote.</x:v>
      </x:c>
      <x:c r="J18" s="15" t="str"/>
      <x:c r="K18" s="15" t="str">
        <x:v>Learn more</x:v>
      </x:c>
      <x:c r="L18" s="15" t="str">
        <x:v>https://elan-tech.net/contact/?utm_source=google_business&amp;utm_medium=social&amp;utm_campaign=q4_2026_websites&amp;utm_content=o05</x:v>
      </x:c>
      <x:c r="M18" s="15" t="str">
        <x:v>Update + image</x:v>
      </x:c>
      <x:c r="N18" s="15" t="str">
        <x:v>What should a website quote explain?
List the deliverables</x:v>
      </x:c>
      <x:c r="O18" s="15" t="str">
        <x:v>Five clean document-style panels, orange highlights on key terms. No fake competitor quote or fabricated saving. Use one central focal point and only the headline on image.</x:v>
      </x:c>
      <x:c r="P18" s="15" t="str">
        <x:v>1200 × 900 px</x:v>
      </x:c>
      <x:c r="Q18" s="15" t="str">
        <x:v>What should a website quote explain?. List the deliverables. Agree who supplies content. Clarify revisions and approvals. Original illustrative graphic by eLan Technology.</x:v>
      </x:c>
      <x:c r="R18" s="15" t="str">
        <x:v>Standard approval No client assets or testimonials. No paid promotion. Test the destination and mobile contact journey. Do not add phone numbers to the post body. Preview profile action.</x:v>
      </x:c>
      <x:c r="S18" s="23" t="str">
        <x:v>☐</x:v>
      </x:c>
      <x:c r="T18" s="23" t="str">
        <x:v>☐</x:v>
      </x:c>
      <x:c r="U18" s="23" t="str">
        <x:v>☐</x:v>
      </x:c>
      <x:c r="V18" s="24"/>
      <x:c r="W18" s="22" t="str"/>
      <x:c r="X18" s="26"/>
      <x:c r="Y18" s="26"/>
      <x:c r="Z18" s="26"/>
      <x:c r="AA18" s="22" t="str"/>
      <x:c r="AB18" s="22" t="str"/>
    </x:row>
    <x:row r="19" ht="260" customHeight="1">
      <x:c r="A19" s="23" t="str">
        <x:v>☐</x:v>
      </x:c>
      <x:c r="B19" s="24" t="n">
        <x:v>46315</x:v>
      </x:c>
      <x:c r="C19" s="25" t="n">
        <x:v>0.4583333333333333</x:v>
      </x:c>
      <x:c r="D19" s="3" t="str">
        <x:v>O06</x:v>
      </x:c>
      <x:c r="E19" s="3" t="str">
        <x:v>Optional</x:v>
      </x:c>
      <x:c r="F19" s="22" t="str">
        <x:v>Draft</x:v>
      </x:c>
      <x:c r="G19" s="22" t="str"/>
      <x:c r="H19" s="3" t="str">
        <x:v>Shopify, WooCommerce or Medusa.js?</x:v>
      </x:c>
      <x:c r="I19" s="3" t="str">
        <x:v>The best starting point is what your business needs to do. Shopify offers a managed commerce platform. WooCommerce fits a WordPress-based store. Medusa.js is worth exploring when custom commerce workflows need more development control. Compare maintenance, integrations and total running costs as well as design. Tell us your requirements and we will discuss the fit.
Use the profile link to discuss your eCommerce requirements.</x:v>
      </x:c>
      <x:c r="J19" s="3" t="str"/>
      <x:c r="K19" s="3" t="str">
        <x:v>Learn more</x:v>
      </x:c>
      <x:c r="L19" s="3" t="str">
        <x:v>https://elan-tech.net/services/ecommerce/?utm_source=google_business&amp;utm_medium=social&amp;utm_campaign=q4_2026_commerce&amp;utm_content=o06</x:v>
      </x:c>
      <x:c r="M19" s="3" t="str">
        <x:v>Update + image</x:v>
      </x:c>
      <x:c r="N19" s="3" t="str">
        <x:v>Shopify, WooCommerce or Medusa.js?
Shopify: managed commerce platform</x:v>
      </x:c>
      <x:c r="O19" s="3" t="str">
        <x:v>Three equal rectangular cards in green, purple and indigo. No winner badge. Final comparison slide lists operations, integrations and maintenance. Keep names as text unless approved logos are available. Use one central focal point and only the headline on image.</x:v>
      </x:c>
      <x:c r="P19" s="3" t="str">
        <x:v>1200 × 900 px</x:v>
      </x:c>
      <x:c r="Q19" s="3" t="str">
        <x:v>Shopify, WooCommerce or Medusa.js?. Shopify: managed commerce platform. WooCommerce: commerce on WordPress. Medusa.js: custom commerce development. Original illustrative graphic by eLan Technology.</x:v>
      </x:c>
      <x:c r="R19" s="3" t="str">
        <x:v>Standard approval No client assets or testimonials. No paid promotion. Test the destination and mobile contact journey. Do not add phone numbers to the post body. Preview profile action.</x:v>
      </x:c>
      <x:c r="S19" s="23" t="str">
        <x:v>☐</x:v>
      </x:c>
      <x:c r="T19" s="23" t="str">
        <x:v>☐</x:v>
      </x:c>
      <x:c r="U19" s="23" t="str">
        <x:v>☐</x:v>
      </x:c>
      <x:c r="V19" s="24"/>
      <x:c r="W19" s="22" t="str"/>
      <x:c r="X19" s="26"/>
      <x:c r="Y19" s="26"/>
      <x:c r="Z19" s="26"/>
      <x:c r="AA19" s="22" t="str"/>
      <x:c r="AB19" s="22" t="str"/>
    </x:row>
    <x:row r="20" ht="260" customHeight="1">
      <x:c r="A20" s="23" t="str">
        <x:v>☐</x:v>
      </x:c>
      <x:c r="B20" s="24" t="n">
        <x:v>46318</x:v>
      </x:c>
      <x:c r="C20" s="25" t="n">
        <x:v>0.4583333333333333</x:v>
      </x:c>
      <x:c r="D20" s="15" t="str">
        <x:v>O07</x:v>
      </x:c>
      <x:c r="E20" s="15" t="str">
        <x:v>Core</x:v>
      </x:c>
      <x:c r="F20" s="22" t="str">
        <x:v>Draft</x:v>
      </x:c>
      <x:c r="G20" s="22" t="str"/>
      <x:c r="H20" s="15" t="str">
        <x:v>A local business website starts with real questions</x:v>
      </x:c>
      <x:c r="I20" s="15" t="str">
        <x:v>What do customers ask before they contact you? Your website should help answer those questions clearly: what you do, who you help, where you operate and how to enquire. We are based in Nagpur and work remotely with businesses elsewhere. Share your requirements and we can plan the right content and enquiry journey.
Use the profile link to request a business website quote.</x:v>
      </x:c>
      <x:c r="J20" s="15" t="str"/>
      <x:c r="K20" s="15" t="str">
        <x:v>Learn more</x:v>
      </x:c>
      <x:c r="L20" s="15" t="str">
        <x:v>https://elan-tech.net/contact/?utm_source=google_business&amp;utm_medium=social&amp;utm_campaign=q4_2026_websites&amp;utm_content=o07</x:v>
      </x:c>
      <x:c r="M20" s="15" t="str">
        <x:v>Update + image</x:v>
      </x:c>
      <x:c r="N20" s="15" t="str">
        <x:v>A local business website starts with real questions
What do customers need to know?</x:v>
      </x:c>
      <x:c r="O20" s="15" t="str">
        <x:v>Original wireframe sequence: customer questions, service page, contact panel, phone view. Small Nagpur label, no fictional branch offices or client locations. Use one central focal point and only the headline on image.</x:v>
      </x:c>
      <x:c r="P20" s="15" t="str">
        <x:v>1200 × 900 px</x:v>
      </x:c>
      <x:c r="Q20" s="15" t="str">
        <x:v>A local business website starts with real questions. What do customers need to know?. Explain services in everyday language. State the real service area. Original illustrative graphic by eLan Technology.</x:v>
      </x:c>
      <x:c r="R20" s="15" t="str">
        <x:v>Standard approval No client assets or testimonials. No paid promotion. Test the destination and mobile contact journey. Do not add phone numbers to the post body. Preview profile action.</x:v>
      </x:c>
      <x:c r="S20" s="23" t="str">
        <x:v>☐</x:v>
      </x:c>
      <x:c r="T20" s="23" t="str">
        <x:v>☐</x:v>
      </x:c>
      <x:c r="U20" s="23" t="str">
        <x:v>☐</x:v>
      </x:c>
      <x:c r="V20" s="24"/>
      <x:c r="W20" s="22" t="str"/>
      <x:c r="X20" s="26"/>
      <x:c r="Y20" s="26"/>
      <x:c r="Z20" s="26"/>
      <x:c r="AA20" s="22" t="str"/>
      <x:c r="AB20" s="22" t="str"/>
    </x:row>
    <x:row r="21" ht="260" customHeight="1">
      <x:c r="A21" s="23" t="str">
        <x:v>☐</x:v>
      </x:c>
      <x:c r="B21" s="24" t="n">
        <x:v>46322</x:v>
      </x:c>
      <x:c r="C21" s="25" t="n">
        <x:v>0.4583333333333333</x:v>
      </x:c>
      <x:c r="D21" s="3" t="str">
        <x:v>O08</x:v>
      </x:c>
      <x:c r="E21" s="3" t="str">
        <x:v>Optional</x:v>
      </x:c>
      <x:c r="F21" s="22" t="str">
        <x:v>Draft</x:v>
      </x:c>
      <x:c r="G21" s="22" t="str"/>
      <x:c r="H21" s="3" t="str">
        <x:v>Four checkout checks before your next promotion</x:v>
      </x:c>
      <x:c r="I21" s="3" t="str">
        <x:v>Before sending more visitors to your store, try buying on a phone. Check whether delivery costs are clear, form errors explain what to fix, and the payment handoff works. Use a safe test environment when possible. These checks do not promise more sales, but they can uncover friction worth fixing.
Use the profile link to discuss store improvements.</x:v>
      </x:c>
      <x:c r="J21" s="3" t="str"/>
      <x:c r="K21" s="3" t="str">
        <x:v>Learn more</x:v>
      </x:c>
      <x:c r="L21" s="3" t="str">
        <x:v>https://elan-tech.net/services/ecommerce/?utm_source=google_business&amp;utm_medium=social&amp;utm_campaign=q4_2026_commerce&amp;utm_content=o08</x:v>
      </x:c>
      <x:c r="M21" s="3" t="str">
        <x:v>Update + image</x:v>
      </x:c>
      <x:c r="N21" s="3" t="str">
        <x:v>Four checkout checks before your next promotion
Try the journey on mobile</x:v>
      </x:c>
      <x:c r="O21" s="3" t="str">
        <x:v>30-second sandbox recording with four chapter cards. Show sample cart and error message without real customer details or payment credentials. Use one central focal point and only the headline on image.</x:v>
      </x:c>
      <x:c r="P21" s="3" t="str">
        <x:v>1200 × 900 px</x:v>
      </x:c>
      <x:c r="Q21" s="3" t="str">
        <x:v>Four checkout checks before your next promotion. Try the journey on mobile. Check delivery-cost clarity. Read form error messages. Original illustrative graphic by eLan Technology.</x:v>
      </x:c>
      <x:c r="R21" s="3" t="str">
        <x:v>Standard approval No client assets or testimonials. No paid promotion. Test the destination and mobile contact journey. Do not add phone numbers to the post body. Preview profile action.</x:v>
      </x:c>
      <x:c r="S21" s="23" t="str">
        <x:v>☐</x:v>
      </x:c>
      <x:c r="T21" s="23" t="str">
        <x:v>☐</x:v>
      </x:c>
      <x:c r="U21" s="23" t="str">
        <x:v>☐</x:v>
      </x:c>
      <x:c r="V21" s="24"/>
      <x:c r="W21" s="22" t="str"/>
      <x:c r="X21" s="26"/>
      <x:c r="Y21" s="26"/>
      <x:c r="Z21" s="26"/>
      <x:c r="AA21" s="22" t="str"/>
      <x:c r="AB21" s="22" t="str"/>
    </x:row>
    <x:row r="22" ht="260" customHeight="1">
      <x:c r="A22" s="23" t="str">
        <x:v>☐</x:v>
      </x:c>
      <x:c r="B22" s="24" t="n">
        <x:v>46325</x:v>
      </x:c>
      <x:c r="C22" s="25" t="n">
        <x:v>0.4583333333333333</x:v>
      </x:c>
      <x:c r="D22" s="15" t="str">
        <x:v>O09</x:v>
      </x:c>
      <x:c r="E22" s="15" t="str">
        <x:v>Conditional</x:v>
      </x:c>
      <x:c r="F22" s="22" t="str">
        <x:v>Hold</x:v>
      </x:c>
      <x:c r="G22" s="22" t="str"/>
      <x:c r="H22" s="15" t="str">
        <x:v>What makes a digital card easy to use?</x:v>
      </x:c>
      <x:c r="I22" s="15" t="str">
        <x:v>Before a wider release, we are checking the small details that matter: readable text, clear contact options and a sharing journey that makes sense on a phone. Our digital business card is still subject to final readiness checks. Message us if you would like an update when the preview is available. Subscription pricing will be + GST.
Use the profile link to request a preview update.</x:v>
      </x:c>
      <x:c r="J22" s="15" t="str"/>
      <x:c r="K22" s="15" t="str">
        <x:v>Learn more</x:v>
      </x:c>
      <x:c r="L22" s="15" t="str">
        <x:v>https://elan-tech.net/contact/?utm_source=google_business&amp;utm_medium=social&amp;utm_campaign=q4_2026_digital_card&amp;utm_content=o09</x:v>
      </x:c>
      <x:c r="M22" s="15" t="str">
        <x:v>Update + image</x:v>
      </x:c>
      <x:c r="N22" s="15" t="str">
        <x:v>What makes a digital card easy to use?
Readable on a phone</x:v>
      </x:c>
      <x:c r="O22" s="15" t="str">
        <x:v>Three-panel internal-test checklist using a verified sample screen. Do not fabricate test scores, customer feedback or improvements not completed. Use one central focal point and only the headline on image.</x:v>
      </x:c>
      <x:c r="P22" s="15" t="str">
        <x:v>1200 × 900 px</x:v>
      </x:c>
      <x:c r="Q22" s="15" t="str">
        <x:v>What makes a digital card easy to use?. Readable on a phone. Clear contact choices. A practical sharing journey. Original illustrative graphic by eLan Technology.</x:v>
      </x:c>
      <x:c r="R22" s="15" t="str">
        <x:v>Verify actual test status; do not imply a completed pilot or user results No client assets or testimonials. No paid promotion. Test the destination and mobile contact journey. Do not add phone numbers to the post body. Preview profile action.</x:v>
      </x:c>
      <x:c r="S22" s="23" t="str">
        <x:v>☐</x:v>
      </x:c>
      <x:c r="T22" s="23" t="str">
        <x:v>☐</x:v>
      </x:c>
      <x:c r="U22" s="23" t="str">
        <x:v>☐</x:v>
      </x:c>
      <x:c r="V22" s="24"/>
      <x:c r="W22" s="22" t="str"/>
      <x:c r="X22" s="26"/>
      <x:c r="Y22" s="26"/>
      <x:c r="Z22" s="26"/>
      <x:c r="AA22" s="22" t="str"/>
      <x:c r="AB22"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3" ht="260" customHeight="1">
      <x:c r="A23" s="23" t="str">
        <x:v>☐</x:v>
      </x:c>
      <x:c r="B23" s="24" t="n">
        <x:v>46329</x:v>
      </x:c>
      <x:c r="C23" s="25" t="n">
        <x:v>0.4583333333333333</x:v>
      </x:c>
      <x:c r="D23" s="3" t="str">
        <x:v>N01</x:v>
      </x:c>
      <x:c r="E23" s="3" t="str">
        <x:v>Core</x:v>
      </x:c>
      <x:c r="F23" s="22" t="str">
        <x:v>Draft</x:v>
      </x:c>
      <x:c r="G23" s="22" t="str"/>
      <x:c r="H23" s="3" t="str">
        <x:v>Accessibility audit and remediation are different</x:v>
      </x:c>
      <x:c r="I23" s="3" t="str">
        <x:v>An audit helps identify accessibility barriers. Remediation is the work to address them. Retesting checks whether the agreed changes work as intended. If you need help, start by defining the pages, templates and journeys in scope. We can discuss an assessment and a practical improvement plan.
Use the profile link to request a scoped accessibility assessment.</x:v>
      </x:c>
      <x:c r="J23" s="3" t="str"/>
      <x:c r="K23" s="3" t="str">
        <x:v>Learn more</x:v>
      </x:c>
      <x:c r="L23" s="3" t="str">
        <x:v>https://elan-tech.net/services/ada-compliant-web-design/?utm_source=google_business&amp;utm_medium=social&amp;utm_campaign=q4_2026_accessibility&amp;utm_content=n01</x:v>
      </x:c>
      <x:c r="M23" s="3" t="str">
        <x:v>Update + image</x:v>
      </x:c>
      <x:c r="N23" s="3" t="str">
        <x:v>Accessibility audit and remediation are different
Audit: identify barriers</x:v>
      </x:c>
      <x:c r="O23" s="3" t="str">
        <x:v>Three-stage flow with an explicit retest loop. Teal accent, plain labels, no shield claiming legal protection. Use one central focal point and only the headline on image.</x:v>
      </x:c>
      <x:c r="P23" s="3" t="str">
        <x:v>1200 × 900 px</x:v>
      </x:c>
      <x:c r="Q23" s="3" t="str">
        <x:v>Accessibility audit and remediation are different. Audit: identify barriers. Prioritise the agreed findings. Remediate: make the changes. Original illustrative graphic by eLan Technology.</x:v>
      </x:c>
      <x:c r="R23" s="3" t="str">
        <x:v>Standard approval No client assets or testimonials. No paid promotion. Test the destination and mobile contact journey. Do not add phone numbers to the post body. Preview profile action.</x:v>
      </x:c>
      <x:c r="S23" s="23" t="str">
        <x:v>☐</x:v>
      </x:c>
      <x:c r="T23" s="23" t="str">
        <x:v>☐</x:v>
      </x:c>
      <x:c r="U23" s="23" t="str">
        <x:v>☐</x:v>
      </x:c>
      <x:c r="V23" s="24"/>
      <x:c r="W23" s="22" t="str"/>
      <x:c r="X23" s="26"/>
      <x:c r="Y23" s="26"/>
      <x:c r="Z23" s="26"/>
      <x:c r="AA23" s="22" t="str"/>
      <x:c r="AB23" s="22" t="str"/>
    </x:row>
    <x:row r="24" ht="260" customHeight="1">
      <x:c r="A24" s="23" t="str">
        <x:v>☐</x:v>
      </x:c>
      <x:c r="B24" s="24" t="n">
        <x:v>46332</x:v>
      </x:c>
      <x:c r="C24" s="25" t="n">
        <x:v>0.4583333333333333</x:v>
      </x:c>
      <x:c r="D24" s="15" t="str">
        <x:v>N02</x:v>
      </x:c>
      <x:c r="E24" s="15" t="str">
        <x:v>Optional</x:v>
      </x:c>
      <x:c r="F24" s="22" t="str">
        <x:v>Draft</x:v>
      </x:c>
      <x:c r="G24" s="22" t="str"/>
      <x:c r="H24" s="15" t="str">
        <x:v>Digital card or website: which do you need?</x:v>
      </x:c>
      <x:c r="I24" s="15" t="str">
        <x:v>A digital card can help with a quick introduction. A website gives you room for detailed services, content and custom journeys. Some businesses may need both. Start with what your customers need to find or do, rather than buying more features. Ask us about the fit for your business. Digital-card subscription pricing will be + GST.
Use the profile link to discuss the right option.</x:v>
      </x:c>
      <x:c r="J24" s="15" t="str"/>
      <x:c r="K24" s="15" t="str">
        <x:v>Learn more</x:v>
      </x:c>
      <x:c r="L24" s="15" t="str">
        <x:v>https://elan-tech.net/contact/?utm_source=google_business&amp;utm_medium=social&amp;utm_campaign=q4_2026_digital_card&amp;utm_content=n02</x:v>
      </x:c>
      <x:c r="M24" s="15" t="str">
        <x:v>Update + image</x:v>
      </x:c>
      <x:c r="N24" s="15" t="str">
        <x:v>Digital card or website: which do you need?
Digital card: a concise introduction</x:v>
      </x:c>
      <x:c r="O24" s="15" t="str">
        <x:v>Split layout of a simple sample profile and an original website wireframe. Equal visual weight, no misleading winner. Illustrative screens labelled. Use one central focal point and only the headline on image.</x:v>
      </x:c>
      <x:c r="P24" s="15" t="str">
        <x:v>1200 × 900 px</x:v>
      </x:c>
      <x:c r="Q24" s="15" t="str">
        <x:v>Digital card or website: which do you need?. Digital card: a concise introduction. Website: deeper information and journeys. Some businesses need both. Original illustrative graphic by eLan Technology.</x:v>
      </x:c>
      <x:c r="R24" s="15" t="str">
        <x:v>Standard approval No client assets or testimonials. No paid promotion. Test the destination and mobile contact journey. Do not add phone numbers to the post body. Preview profile action.</x:v>
      </x:c>
      <x:c r="S24" s="23" t="str">
        <x:v>☐</x:v>
      </x:c>
      <x:c r="T24" s="23" t="str">
        <x:v>☐</x:v>
      </x:c>
      <x:c r="U24" s="23" t="str">
        <x:v>☐</x:v>
      </x:c>
      <x:c r="V24" s="24"/>
      <x:c r="W24" s="22" t="str"/>
      <x:c r="X24" s="26"/>
      <x:c r="Y24" s="26"/>
      <x:c r="Z24" s="26"/>
      <x:c r="AA24" s="22" t="str"/>
      <x:c r="AB24"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5" ht="260" customHeight="1">
      <x:c r="A25" s="23" t="str">
        <x:v>☐</x:v>
      </x:c>
      <x:c r="B25" s="24" t="n">
        <x:v>46336</x:v>
      </x:c>
      <x:c r="C25" s="25" t="n">
        <x:v>0.4583333333333333</x:v>
      </x:c>
      <x:c r="D25" s="3" t="str">
        <x:v>N03</x:v>
      </x:c>
      <x:c r="E25" s="3" t="str">
        <x:v>Conditional</x:v>
      </x:c>
      <x:c r="F25" s="22" t="str">
        <x:v>Hold</x:v>
      </x:c>
      <x:c r="G25" s="22" t="str"/>
      <x:c r="H25" s="3" t="str">
        <x:v>Meet our digital business card</x:v>
      </x:c>
      <x:c r="I25" s="3" t="str">
        <x:v>Our digital business card subscription is now available. View the demo to see whether it suits the way you introduce your business. Review the plan features, billing interval and renewal terms before subscribing. Prices are quoted + GST. Message us for the verified demo and plan details.
Use the profile link to view the demo and plans.</x:v>
      </x:c>
      <x:c r="J25" s="3" t="str"/>
      <x:c r="K25" s="3" t="str">
        <x:v>Learn more</x:v>
      </x:c>
      <x:c r="L25" s="3" t="str"/>
      <x:c r="M25" s="3" t="str">
        <x:v>Update + image</x:v>
      </x:c>
      <x:c r="N25" s="3" t="str">
        <x:v>Meet our digital business card
Meet the digital business card</x:v>
      </x:c>
      <x:c r="O25" s="3" t="str">
        <x:v>40-second real product demo after launch approval: 0–5s introduction, 5–20s profile and two verified actions, 20–30s plans, 30–40s terms and link. Use final branding only. Use one central focal point and only the headline on image.</x:v>
      </x:c>
      <x:c r="P25" s="3" t="str">
        <x:v>1200 × 900 px</x:v>
      </x:c>
      <x:c r="Q25" s="3" t="str">
        <x:v>Meet our digital business card. Meet the digital business card. Explore the working demo. Compare plan features and limits. Original illustrative graphic by eLan Technology.</x:v>
      </x:c>
      <x:c r="R25" s="3" t="str">
        <x:v>HOLD: provisional launch slot; publish only after explicit launch approval, working billing, terms and support No client assets or testimonials. No paid promotion. Add and test the approved product URL before publishing. Do not add phone numbers to the post body. Preview profile action.</x:v>
      </x:c>
      <x:c r="S25" s="23" t="str">
        <x:v>☐</x:v>
      </x:c>
      <x:c r="T25" s="23" t="str">
        <x:v>☐</x:v>
      </x:c>
      <x:c r="U25" s="23" t="str">
        <x:v>☐</x:v>
      </x:c>
      <x:c r="V25" s="24"/>
      <x:c r="W25" s="22" t="str"/>
      <x:c r="X25" s="26"/>
      <x:c r="Y25" s="26"/>
      <x:c r="Z25" s="26"/>
      <x:c r="AA25" s="22" t="str"/>
      <x:c r="AB25"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6" ht="260" customHeight="1">
      <x:c r="A26" s="23" t="str">
        <x:v>☐</x:v>
      </x:c>
      <x:c r="B26" s="24" t="n">
        <x:v>46339</x:v>
      </x:c>
      <x:c r="C26" s="25" t="n">
        <x:v>0.4583333333333333</x:v>
      </x:c>
      <x:c r="D26" s="15" t="str">
        <x:v>N04</x:v>
      </x:c>
      <x:c r="E26" s="15" t="str">
        <x:v>Optional</x:v>
      </x:c>
      <x:c r="F26" s="22" t="str">
        <x:v>Hold</x:v>
      </x:c>
      <x:c r="G26" s="22" t="str"/>
      <x:c r="H26" s="15" t="str">
        <x:v>From signup to your first shared card</x:v>
      </x:c>
      <x:c r="I26" s="15" t="str">
        <x:v>Start with accurate business details, preview the card on a phone, and test the links before you share it. This walkthrough shows the current product journey. Check the subscription plan and billing terms first. Prices are + GST. Need help finding the demo? Send us a message.
Use the profile link to request the product walkthrough.</x:v>
      </x:c>
      <x:c r="J26" s="15" t="str"/>
      <x:c r="K26" s="15" t="str">
        <x:v>Learn more</x:v>
      </x:c>
      <x:c r="L26" s="15" t="str"/>
      <x:c r="M26" s="15" t="str">
        <x:v>Update + image</x:v>
      </x:c>
      <x:c r="N26" s="15" t="str">
        <x:v>From signup to your first shared card
Choose the appropriate plan</x:v>
      </x:c>
      <x:c r="O26" s="15" t="str">
        <x:v>Captioned real onboarding recording using a fictional test identity. Match every step to the released product. No promise of completion in a fixed number of minutes. Use one central focal point and only the headline on image.</x:v>
      </x:c>
      <x:c r="P26" s="15" t="str">
        <x:v>1200 × 900 px</x:v>
      </x:c>
      <x:c r="Q26" s="15" t="str">
        <x:v>From signup to your first shared card. Choose the appropriate plan. Enter accurate business details. Preview on a phone. Original illustrative graphic by eLan Technology.</x:v>
      </x:c>
      <x:c r="R26" s="15" t="str">
        <x:v>HOLD unless launched and all shown steps match the released product No client assets or testimonials. No paid promotion. Add and test the approved product URL before publishing. Do not add phone numbers to the post body. Preview profile action.</x:v>
      </x:c>
      <x:c r="S26" s="23" t="str">
        <x:v>☐</x:v>
      </x:c>
      <x:c r="T26" s="23" t="str">
        <x:v>☐</x:v>
      </x:c>
      <x:c r="U26" s="23" t="str">
        <x:v>☐</x:v>
      </x:c>
      <x:c r="V26" s="24"/>
      <x:c r="W26" s="22" t="str"/>
      <x:c r="X26" s="26"/>
      <x:c r="Y26" s="26"/>
      <x:c r="Z26" s="26"/>
      <x:c r="AA26" s="22" t="str"/>
      <x:c r="AB26"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7" ht="260" customHeight="1">
      <x:c r="A27" s="23" t="str">
        <x:v>☐</x:v>
      </x:c>
      <x:c r="B27" s="24" t="n">
        <x:v>46343</x:v>
      </x:c>
      <x:c r="C27" s="25" t="n">
        <x:v>0.4583333333333333</x:v>
      </x:c>
      <x:c r="D27" s="3" t="str">
        <x:v>N05</x:v>
      </x:c>
      <x:c r="E27" s="3" t="str">
        <x:v>Core</x:v>
      </x:c>
      <x:c r="F27" s="22" t="str">
        <x:v>Draft</x:v>
      </x:c>
      <x:c r="G27" s="22" t="str"/>
      <x:c r="H27" s="3" t="str">
        <x:v>What affects custom Medusa.js development cost?</x:v>
      </x:c>
      <x:c r="I27" s="3" t="str">
        <x:v>Custom commerce pricing depends on what needs to be built. The storefront, catalogue, subscriptions, payments, shipping and ongoing support all affect the scope. A clear requirements list is more useful than a price guess. Tell us how your business sells and we can discuss a scoped Medusa.js proposal.
Use the profile link to request a scoped Medusa.js quote.</x:v>
      </x:c>
      <x:c r="J27" s="3" t="str"/>
      <x:c r="K27" s="3" t="str">
        <x:v>Learn more</x:v>
      </x:c>
      <x:c r="L27" s="3" t="str">
        <x:v>https://elan-tech.net/services/ecommerce/medusa-js-development/?utm_source=google_business&amp;utm_medium=social&amp;utm_campaign=q4_2026_medusa&amp;utm_content=n05</x:v>
      </x:c>
      <x:c r="M27" s="3" t="str">
        <x:v>Update + image</x:v>
      </x:c>
      <x:c r="N27" s="3" t="str">
        <x:v>What affects custom Medusa.js development cost?
Storefront and product catalogue</x:v>
      </x:c>
      <x:c r="O27" s="3" t="str">
        <x:v>Five connected scope blocks in indigo. Use equal-sized rectangles rather than an invented price ladder. Close with a short requirements checklist. Use one central focal point and only the headline on image.</x:v>
      </x:c>
      <x:c r="P27" s="3" t="str">
        <x:v>1200 × 900 px</x:v>
      </x:c>
      <x:c r="Q27" s="3" t="str">
        <x:v>What affects custom Medusa.js development cost?. Storefront and product catalogue. Order and subscription rules. Payment integrations. Original illustrative graphic by eLan Technology.</x:v>
      </x:c>
      <x:c r="R27" s="3" t="str">
        <x:v>Standard approval No client assets or testimonials. No paid promotion. Test the destination and mobile contact journey. Do not add phone numbers to the post body. Preview profile action.</x:v>
      </x:c>
      <x:c r="S27" s="23" t="str">
        <x:v>☐</x:v>
      </x:c>
      <x:c r="T27" s="23" t="str">
        <x:v>☐</x:v>
      </x:c>
      <x:c r="U27" s="23" t="str">
        <x:v>☐</x:v>
      </x:c>
      <x:c r="V27" s="24"/>
      <x:c r="W27" s="22" t="str"/>
      <x:c r="X27" s="26"/>
      <x:c r="Y27" s="26"/>
      <x:c r="Z27" s="26"/>
      <x:c r="AA27" s="22" t="str"/>
      <x:c r="AB27" s="22" t="str"/>
    </x:row>
    <x:row r="28" ht="260" customHeight="1">
      <x:c r="A28" s="23" t="str">
        <x:v>☐</x:v>
      </x:c>
      <x:c r="B28" s="24" t="n">
        <x:v>46346</x:v>
      </x:c>
      <x:c r="C28" s="25" t="n">
        <x:v>0.4583333333333333</x:v>
      </x:c>
      <x:c r="D28" s="15" t="str">
        <x:v>N06</x:v>
      </x:c>
      <x:c r="E28" s="15" t="str">
        <x:v>Optional</x:v>
      </x:c>
      <x:c r="F28" s="22" t="str">
        <x:v>Draft</x:v>
      </x:c>
      <x:c r="G28" s="22" t="str"/>
      <x:c r="H28" s="15" t="str">
        <x:v>After a meeting, send a useful introduction</x:v>
      </x:c>
      <x:c r="I28" s="15" t="str">
        <x:v>A thoughtful follow-up reminds someone who you are and why you spoke. Keep it short, share the relevant business details, and give them an easy way to reply. Send it only when the contact is welcome. A digital card can support that introduction, but it does not replace a personal conversation.
Use the profile link to ask about the digital card.</x:v>
      </x:c>
      <x:c r="J28" s="15" t="str"/>
      <x:c r="K28" s="15" t="str">
        <x:v>Learn more</x:v>
      </x:c>
      <x:c r="L28" s="15" t="str">
        <x:v>https://elan-tech.net/contact/?utm_source=google_business&amp;utm_medium=social&amp;utm_campaign=q4_2026_digital_card&amp;utm_content=n06</x:v>
      </x:c>
      <x:c r="M28" s="15" t="str">
        <x:v>Update + image</x:v>
      </x:c>
      <x:c r="N28" s="15" t="str">
        <x:v>After a meeting, send a useful introduction
Refer to the conversation</x:v>
      </x:c>
      <x:c r="O28" s="15" t="str">
        <x:v>Staged two-person meeting and fictional message overlay. No real contacts, client logos or invented message screenshots presented as genuine. End with a labelled sample profile. Use one central focal point and only the headline on image.</x:v>
      </x:c>
      <x:c r="P28" s="15" t="str">
        <x:v>1200 × 900 px</x:v>
      </x:c>
      <x:c r="Q28" s="15" t="str">
        <x:v>After a meeting, send a useful introduction. Refer to the conversation. Share only relevant details. Make the next step clear. Original illustrative graphic by eLan Technology.</x:v>
      </x:c>
      <x:c r="R28" s="15" t="str">
        <x:v>Standard approval No client assets or testimonials. No paid promotion. Test the destination and mobile contact journey. Do not add phone numbers to the post body. Preview profile action.</x:v>
      </x:c>
      <x:c r="S28" s="23" t="str">
        <x:v>☐</x:v>
      </x:c>
      <x:c r="T28" s="23" t="str">
        <x:v>☐</x:v>
      </x:c>
      <x:c r="U28" s="23" t="str">
        <x:v>☐</x:v>
      </x:c>
      <x:c r="V28" s="24"/>
      <x:c r="W28" s="22" t="str"/>
      <x:c r="X28" s="26"/>
      <x:c r="Y28" s="26"/>
      <x:c r="Z28" s="26"/>
      <x:c r="AA28" s="22" t="str"/>
      <x:c r="AB28"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9" ht="260" customHeight="1">
      <x:c r="A29" s="23" t="str">
        <x:v>☐</x:v>
      </x:c>
      <x:c r="B29" s="24" t="n">
        <x:v>46350</x:v>
      </x:c>
      <x:c r="C29" s="25" t="n">
        <x:v>0.4583333333333333</x:v>
      </x:c>
      <x:c r="D29" s="3" t="str">
        <x:v>N07</x:v>
      </x:c>
      <x:c r="E29" s="3" t="str">
        <x:v>Core</x:v>
      </x:c>
      <x:c r="F29" s="22" t="str">
        <x:v>Draft</x:v>
      </x:c>
      <x:c r="G29" s="22" t="str"/>
      <x:c r="H29" s="3" t="str">
        <x:v>A portal shaped around your organisation</x:v>
      </x:c>
      <x:c r="I29" s="3" t="str">
        <x:v>A portal should fit the work people need to do. We offer customisable real-estate, medical-conference, IMA society and resort-management platforms. Features can be adapted to the agreed requirements. Source code, ownership, deployment and recurring costs depend on the proposal and payment terms. Tell us which workflow you want to simplify.
Use the profile link to request a portal discussion.</x:v>
      </x:c>
      <x:c r="J29" s="3" t="str"/>
      <x:c r="K29" s="3" t="str">
        <x:v>Learn more</x:v>
      </x:c>
      <x:c r="L29" s="3" t="str">
        <x:v>https://elan-tech.net/products/?utm_source=google_business&amp;utm_medium=social&amp;utm_campaign=q4_2026_portals&amp;utm_content=n07</x:v>
      </x:c>
      <x:c r="M29" s="3" t="str">
        <x:v>Update + image</x:v>
      </x:c>
      <x:c r="N29" s="3" t="str">
        <x:v>A portal shaped around your organisation
Real Estate Portal</x:v>
      </x:c>
      <x:c r="O29" s="3" t="str">
        <x:v>Four original workflow tiles with one sample admin diagram. Do not use PropertyCab as the product name. Mark Demonstration. No unlimited licence, ownership or SaaS-free promise. Use one central focal point and only the headline on image.</x:v>
      </x:c>
      <x:c r="P29" s="3" t="str">
        <x:v>1200 × 900 px</x:v>
      </x:c>
      <x:c r="Q29" s="3" t="str">
        <x:v>A portal shaped around your organisation. Real Estate Portal. Medical Conference Portal. IMA Society Portal. Original illustrative graphic by eLan Technology.</x:v>
      </x:c>
      <x:c r="R29" s="3" t="str">
        <x:v>Standard approval No client assets or testimonials. No paid promotion. Test the destination and mobile contact journey. Do not add phone numbers to the post body. Preview profile action.</x:v>
      </x:c>
      <x:c r="S29" s="23" t="str">
        <x:v>☐</x:v>
      </x:c>
      <x:c r="T29" s="23" t="str">
        <x:v>☐</x:v>
      </x:c>
      <x:c r="U29" s="23" t="str">
        <x:v>☐</x:v>
      </x:c>
      <x:c r="V29" s="24"/>
      <x:c r="W29" s="22" t="str"/>
      <x:c r="X29" s="26"/>
      <x:c r="Y29" s="26"/>
      <x:c r="Z29" s="26"/>
      <x:c r="AA29" s="22" t="str"/>
      <x:c r="AB29" s="22" t="str"/>
    </x:row>
    <x:row r="30" ht="260" customHeight="1">
      <x:c r="A30" s="23" t="str">
        <x:v>☐</x:v>
      </x:c>
      <x:c r="B30" s="24" t="n">
        <x:v>46353</x:v>
      </x:c>
      <x:c r="C30" s="25" t="n">
        <x:v>0.4583333333333333</x:v>
      </x:c>
      <x:c r="D30" s="15" t="str">
        <x:v>N08</x:v>
      </x:c>
      <x:c r="E30" s="15" t="str">
        <x:v>Optional</x:v>
      </x:c>
      <x:c r="F30" s="22" t="str">
        <x:v>Draft</x:v>
      </x:c>
      <x:c r="G30" s="22" t="str"/>
      <x:c r="H30" s="15" t="str">
        <x:v>Paper and digital cards can work together</x:v>
      </x:c>
      <x:c r="I30" s="15" t="str">
        <x:v>A printed card can start the conversation. A digital profile can give someone another way to find your business details. If you use a QR code, include a readable URL as well and test both. No special hardware needs to be implied. Choose the format that works for the people you meet.
Use the profile link to ask about digital card options.</x:v>
      </x:c>
      <x:c r="J30" s="15" t="str"/>
      <x:c r="K30" s="15" t="str">
        <x:v>Learn more</x:v>
      </x:c>
      <x:c r="L30" s="15" t="str">
        <x:v>https://elan-tech.net/contact/?utm_source=google_business&amp;utm_medium=social&amp;utm_campaign=q4_2026_digital_card&amp;utm_content=n08</x:v>
      </x:c>
      <x:c r="M30" s="15" t="str">
        <x:v>Update + image</x:v>
      </x:c>
      <x:c r="N30" s="15" t="str">
        <x:v>Paper and digital cards can work together
A printed card starts a conversation</x:v>
      </x:c>
      <x:c r="O30" s="15" t="str">
        <x:v>Side-by-side original printed card and sample phone profile. QR placeholder must not be published as a working code. Replace with a tested code only after the final domain is ready. Use one central focal point and only the headline on image.</x:v>
      </x:c>
      <x:c r="P30" s="15" t="str">
        <x:v>1200 × 900 px</x:v>
      </x:c>
      <x:c r="Q30" s="15" t="str">
        <x:v>Paper and digital cards can work together. A printed card starts a conversation. A digital profile adds another route. Test the QR destination. Original illustrative graphic by eLan Technology.</x:v>
      </x:c>
      <x:c r="R30" s="15" t="str">
        <x:v>Standard approval No client assets or testimonials. No paid promotion. Test the destination and mobile contact journey. Do not add phone numbers to the post body. Preview profile action.</x:v>
      </x:c>
      <x:c r="S30" s="23" t="str">
        <x:v>☐</x:v>
      </x:c>
      <x:c r="T30" s="23" t="str">
        <x:v>☐</x:v>
      </x:c>
      <x:c r="U30" s="23" t="str">
        <x:v>☐</x:v>
      </x:c>
      <x:c r="V30" s="24"/>
      <x:c r="W30" s="22" t="str"/>
      <x:c r="X30" s="26"/>
      <x:c r="Y30" s="26"/>
      <x:c r="Z30" s="26"/>
      <x:c r="AA30" s="22" t="str"/>
      <x:c r="AB30"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1" ht="260" customHeight="1">
      <x:c r="A31" s="23" t="str">
        <x:v>☐</x:v>
      </x:c>
      <x:c r="B31" s="24" t="n">
        <x:v>46357</x:v>
      </x:c>
      <x:c r="C31" s="25" t="n">
        <x:v>0.4583333333333333</x:v>
      </x:c>
      <x:c r="D31" s="3" t="str">
        <x:v>D01</x:v>
      </x:c>
      <x:c r="E31" s="3" t="str">
        <x:v>Core</x:v>
      </x:c>
      <x:c r="F31" s="22" t="str">
        <x:v>Draft</x:v>
      </x:c>
      <x:c r="G31" s="22" t="str"/>
      <x:c r="H31" s="3" t="str">
        <x:v>What responsive website support looks like</x:v>
      </x:c>
      <x:c r="I31" s="3" t="str">
        <x:v>When something goes wrong, a clear support process helps. Share the page, what you expected, what happened and a screenshot without private details. Agree the next step, then check the change together. Ask us about website support scope and availability for your site.
Use the profile link to discuss website support.</x:v>
      </x:c>
      <x:c r="J31" s="3" t="str"/>
      <x:c r="K31" s="3" t="str">
        <x:v>Learn more</x:v>
      </x:c>
      <x:c r="L31" s="3" t="str">
        <x:v>https://elan-tech.net/contact/?utm_source=google_business&amp;utm_medium=social&amp;utm_campaign=q4_2026_support&amp;utm_content=d01</x:v>
      </x:c>
      <x:c r="M31" s="3" t="str">
        <x:v>Update + image</x:v>
      </x:c>
      <x:c r="N31" s="3" t="str">
        <x:v>What responsive website support looks like
Describe the issue clearly</x:v>
      </x:c>
      <x:c r="O31" s="3" t="str">
        <x:v>Four-panel ticket journey with fictional sample issue, no timestamps implying an SLA. Blue and teal. Avoid customer quotes or a fabricated support rating. Use one central focal point and only the headline on image.</x:v>
      </x:c>
      <x:c r="P31" s="3" t="str">
        <x:v>1200 × 900 px</x:v>
      </x:c>
      <x:c r="Q31" s="3" t="str">
        <x:v>What responsive website support looks like. Describe the issue clearly. Share steps and a safe screenshot. Agree priority and scope. Original illustrative graphic by eLan Technology.</x:v>
      </x:c>
      <x:c r="R31" s="3" t="str">
        <x:v>Standard approval No client assets or testimonials. No paid promotion. Test the destination and mobile contact journey. Do not add phone numbers to the post body. Preview profile action.</x:v>
      </x:c>
      <x:c r="S31" s="23" t="str">
        <x:v>☐</x:v>
      </x:c>
      <x:c r="T31" s="23" t="str">
        <x:v>☐</x:v>
      </x:c>
      <x:c r="U31" s="23" t="str">
        <x:v>☐</x:v>
      </x:c>
      <x:c r="V31" s="24"/>
      <x:c r="W31" s="22" t="str"/>
      <x:c r="X31" s="26"/>
      <x:c r="Y31" s="26"/>
      <x:c r="Z31" s="26"/>
      <x:c r="AA31" s="22" t="str"/>
      <x:c r="AB31" s="22" t="str"/>
    </x:row>
    <x:row r="32" ht="260" customHeight="1">
      <x:c r="A32" s="23" t="str">
        <x:v>☐</x:v>
      </x:c>
      <x:c r="B32" s="24" t="n">
        <x:v>46359</x:v>
      </x:c>
      <x:c r="C32" s="25" t="n">
        <x:v>0.4583333333333333</x:v>
      </x:c>
      <x:c r="D32" s="15" t="str">
        <x:v>D02</x:v>
      </x:c>
      <x:c r="E32" s="15" t="str">
        <x:v>Optional</x:v>
      </x:c>
      <x:c r="F32" s="22" t="str">
        <x:v>Draft</x:v>
      </x:c>
      <x:c r="G32" s="22" t="str"/>
      <x:c r="H32" s="15" t="str">
        <x:v>Digital access should work for more people</x:v>
      </x:c>
      <x:c r="I32" s="15" t="str">
        <x:v>Readable text, labelled form fields and keyboard access can make everyday website tasks easier. On the International Day of Persons with Disabilities, take a moment to review the journeys people rely on. Accessibility is ongoing work, not a badge added at the end. We can help plan an assessment and improvements.
Use the profile link to discuss an accessibility assessment.</x:v>
      </x:c>
      <x:c r="J32" s="15" t="str"/>
      <x:c r="K32" s="15" t="str">
        <x:v>Learn more</x:v>
      </x:c>
      <x:c r="L32" s="15" t="str">
        <x:v>https://elan-tech.net/services/ada-compliant-web-design/?utm_source=google_business&amp;utm_medium=social&amp;utm_campaign=q4_2026_accessibility&amp;utm_content=d02</x:v>
      </x:c>
      <x:c r="M32" s="15" t="str">
        <x:v>Update + image</x:v>
      </x:c>
      <x:c r="N32" s="15" t="str">
        <x:v>Digital access should work for more people
Readable content</x:v>
      </x:c>
      <x:c r="O32" s="15" t="str">
        <x:v>Inclusive 25-second interface demo, no pity imagery. Show labels, focus and readable contrast using sample data. Add captions and a clear limitation: Starting checks, not certification. Use one central focal point and only the headline on image.</x:v>
      </x:c>
      <x:c r="P32" s="15" t="str">
        <x:v>1200 × 900 px</x:v>
      </x:c>
      <x:c r="Q32" s="15" t="str">
        <x:v>Digital access should work for more people. Readable content. Clear form labels. Keyboard operation. Original illustrative graphic by eLan Technology.</x:v>
      </x:c>
      <x:c r="R32" s="15" t="str">
        <x:v>Standard approval No client assets or testimonials. No paid promotion. Test the destination and mobile contact journey. Do not add phone numbers to the post body. Preview profile action.</x:v>
      </x:c>
      <x:c r="S32" s="23" t="str">
        <x:v>☐</x:v>
      </x:c>
      <x:c r="T32" s="23" t="str">
        <x:v>☐</x:v>
      </x:c>
      <x:c r="U32" s="23" t="str">
        <x:v>☐</x:v>
      </x:c>
      <x:c r="V32" s="24"/>
      <x:c r="W32" s="22" t="str"/>
      <x:c r="X32" s="26"/>
      <x:c r="Y32" s="26"/>
      <x:c r="Z32" s="26"/>
      <x:c r="AA32" s="22" t="str"/>
      <x:c r="AB32" s="22" t="str"/>
    </x:row>
    <x:row r="33" ht="260" customHeight="1">
      <x:c r="A33" s="23" t="str">
        <x:v>☐</x:v>
      </x:c>
      <x:c r="B33" s="24" t="n">
        <x:v>46364</x:v>
      </x:c>
      <x:c r="C33" s="25" t="n">
        <x:v>0.4583333333333333</x:v>
      </x:c>
      <x:c r="D33" s="3" t="str">
        <x:v>D03</x:v>
      </x:c>
      <x:c r="E33" s="3" t="str">
        <x:v>Core</x:v>
      </x:c>
      <x:c r="F33" s="22" t="str">
        <x:v>Draft</x:v>
      </x:c>
      <x:c r="G33" s="22" t="str"/>
      <x:c r="H33" s="3" t="str">
        <x:v>Are your business details ready for 2027?</x:v>
      </x:c>
      <x:c r="I33" s="3" t="str">
        <x:v>Before the new year, check the details people use to reach you. Is your phone number correct? Does the email work? Are the services current? Do the links open on a phone? Review your digital card and website together so they tell the same story.
Use the profile link to review your business details.</x:v>
      </x:c>
      <x:c r="J33" s="3" t="str"/>
      <x:c r="K33" s="3" t="str">
        <x:v>Learn more</x:v>
      </x:c>
      <x:c r="L33" s="3" t="str">
        <x:v>https://elan-tech.net/contact/?utm_source=google_business&amp;utm_medium=social&amp;utm_campaign=q4_2026_digital_card&amp;utm_content=d03</x:v>
      </x:c>
      <x:c r="M33" s="3" t="str">
        <x:v>Update + image</x:v>
      </x:c>
      <x:c r="N33" s="3" t="str">
        <x:v>Are your business details ready for 2027?
Check the public phone number</x:v>
      </x:c>
      <x:c r="O33" s="3" t="str">
        <x:v>Five checklist panels with a fictional profile card. Never show the developer contact number or real personal data. No claim that the subscription product is live unless confirmed. Use one central focal point and only the headline on image.</x:v>
      </x:c>
      <x:c r="P33" s="3" t="str">
        <x:v>1200 × 900 px</x:v>
      </x:c>
      <x:c r="Q33" s="3" t="str">
        <x:v>Are your business details ready for 2027?. Check the public phone number. Test the email and contact route. Update service information. Original illustrative graphic by eLan Technology.</x:v>
      </x:c>
      <x:c r="R33" s="3" t="str">
        <x:v>Standard approval No client assets or testimonials. No paid promotion. Test the destination and mobile contact journey. Do not add phone numbers to the post body. Preview profile action.</x:v>
      </x:c>
      <x:c r="S33" s="23" t="str">
        <x:v>☐</x:v>
      </x:c>
      <x:c r="T33" s="23" t="str">
        <x:v>☐</x:v>
      </x:c>
      <x:c r="U33" s="23" t="str">
        <x:v>☐</x:v>
      </x:c>
      <x:c r="V33" s="24"/>
      <x:c r="W33" s="22" t="str"/>
      <x:c r="X33" s="26"/>
      <x:c r="Y33" s="26"/>
      <x:c r="Z33" s="26"/>
      <x:c r="AA33" s="22" t="str"/>
      <x:c r="AB33"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4" ht="260" customHeight="1">
      <x:c r="A34" s="23" t="str">
        <x:v>☐</x:v>
      </x:c>
      <x:c r="B34" s="24" t="n">
        <x:v>46367</x:v>
      </x:c>
      <x:c r="C34" s="25" t="n">
        <x:v>0.4583333333333333</x:v>
      </x:c>
      <x:c r="D34" s="15" t="str">
        <x:v>D04</x:v>
      </x:c>
      <x:c r="E34" s="15" t="str">
        <x:v>Optional</x:v>
      </x:c>
      <x:c r="F34" s="22" t="str">
        <x:v>Draft</x:v>
      </x:c>
      <x:c r="G34" s="22" t="str"/>
      <x:c r="H34" s="15" t="str">
        <x:v>Plan your 2027 website before the rush</x:v>
      </x:c>
      <x:c r="I34" s="15" t="str">
        <x:v>What should your website do better next year? Write down the main customer action, content you need, integrations, budget and who will approve decisions. That gives a website conversation a useful starting point. Share your brief with eLan Technology for a scoped proposal.
Use the profile link to request a website planning quote.</x:v>
      </x:c>
      <x:c r="J34" s="15" t="str"/>
      <x:c r="K34" s="15" t="str">
        <x:v>Learn more</x:v>
      </x:c>
      <x:c r="L34" s="15" t="str">
        <x:v>https://elan-tech.net/contact/?utm_source=google_business&amp;utm_medium=social&amp;utm_campaign=q4_2026_websites&amp;utm_content=d04</x:v>
      </x:c>
      <x:c r="M34" s="15" t="str">
        <x:v>Update + image</x:v>
      </x:c>
      <x:c r="N34" s="15" t="str">
        <x:v>Plan your 2027 website before the rush
Define the main business goal</x:v>
      </x:c>
      <x:c r="O34" s="15" t="str">
        <x:v>Six-slide planning workbook aesthetic, cream and blue with orange tabs. Final slide is an empty original brief template, not a real proposal. Use one central focal point and only the headline on image.</x:v>
      </x:c>
      <x:c r="P34" s="15" t="str">
        <x:v>1200 × 900 px</x:v>
      </x:c>
      <x:c r="Q34" s="15" t="str">
        <x:v>Plan your 2027 website before the rush. Define the main business goal. List content and integrations. Set a realistic budget. Original illustrative graphic by eLan Technology.</x:v>
      </x:c>
      <x:c r="R34" s="15" t="str">
        <x:v>Standard approval No client assets or testimonials. No paid promotion. Test the destination and mobile contact journey. Do not add phone numbers to the post body. Preview profile action.</x:v>
      </x:c>
      <x:c r="S34" s="23" t="str">
        <x:v>☐</x:v>
      </x:c>
      <x:c r="T34" s="23" t="str">
        <x:v>☐</x:v>
      </x:c>
      <x:c r="U34" s="23" t="str">
        <x:v>☐</x:v>
      </x:c>
      <x:c r="V34" s="24"/>
      <x:c r="W34" s="22" t="str"/>
      <x:c r="X34" s="26"/>
      <x:c r="Y34" s="26"/>
      <x:c r="Z34" s="26"/>
      <x:c r="AA34" s="22" t="str"/>
      <x:c r="AB34" s="22" t="str"/>
    </x:row>
    <x:row r="35" ht="260" customHeight="1">
      <x:c r="A35" s="23" t="str">
        <x:v>☐</x:v>
      </x:c>
      <x:c r="B35" s="24" t="n">
        <x:v>46371</x:v>
      </x:c>
      <x:c r="C35" s="25" t="n">
        <x:v>0.4583333333333333</x:v>
      </x:c>
      <x:c r="D35" s="3" t="str">
        <x:v>D05</x:v>
      </x:c>
      <x:c r="E35" s="3" t="str">
        <x:v>Optional</x:v>
      </x:c>
      <x:c r="F35" s="22" t="str">
        <x:v>Draft</x:v>
      </x:c>
      <x:c r="G35" s="22" t="str"/>
      <x:c r="H35" s="3" t="str">
        <x:v>A custom commerce workflow, explained simply</x:v>
      </x:c>
      <x:c r="I35" s="3" t="str">
        <x:v>A customer sees a store. Your team also needs orders, payments, recurring rules and shipping to stay in step. Map the handoffs before adding more features. This sample diagram shows the questions we discuss when planning custom commerce. What part of your process needs less manual work?
Use the profile link to discuss your commerce workflow.</x:v>
      </x:c>
      <x:c r="J35" s="3" t="str"/>
      <x:c r="K35" s="3" t="str">
        <x:v>Learn more</x:v>
      </x:c>
      <x:c r="L35" s="3" t="str">
        <x:v>https://elan-tech.net/services/ecommerce/?utm_source=google_business&amp;utm_medium=social&amp;utm_campaign=q4_2026_commerce&amp;utm_content=d05</x:v>
      </x:c>
      <x:c r="M35" s="3" t="str">
        <x:v>Update + image</x:v>
      </x:c>
      <x:c r="N35" s="3" t="str">
        <x:v>A custom commerce workflow, explained simply
Customer browses and orders</x:v>
      </x:c>
      <x:c r="O35" s="3" t="str">
        <x:v>30-second animated original diagram, storefront to payments to fulfilment with a support loop. Label Illustrative workflow. No revenue counter, live payments or client screenshots. Use one central focal point and only the headline on image.</x:v>
      </x:c>
      <x:c r="P35" s="3" t="str">
        <x:v>1200 × 900 px</x:v>
      </x:c>
      <x:c r="Q35" s="3" t="str">
        <x:v>A custom commerce workflow, explained simply. Customer browses and orders. Payment status is confirmed. Recurring rules apply if required. Original illustrative graphic by eLan Technology.</x:v>
      </x:c>
      <x:c r="R35" s="3" t="str">
        <x:v>Standard approval No client assets or testimonials. No paid promotion. Test the destination and mobile contact journey. Do not add phone numbers to the post body. Preview profile action.</x:v>
      </x:c>
      <x:c r="S35" s="23" t="str">
        <x:v>☐</x:v>
      </x:c>
      <x:c r="T35" s="23" t="str">
        <x:v>☐</x:v>
      </x:c>
      <x:c r="U35" s="23" t="str">
        <x:v>☐</x:v>
      </x:c>
      <x:c r="V35" s="24"/>
      <x:c r="W35" s="22" t="str"/>
      <x:c r="X35" s="26"/>
      <x:c r="Y35" s="26"/>
      <x:c r="Z35" s="26"/>
      <x:c r="AA35" s="22" t="str"/>
      <x:c r="AB35" s="22" t="str"/>
    </x:row>
    <x:row r="36" ht="260" customHeight="1">
      <x:c r="A36" s="23" t="str">
        <x:v>☐</x:v>
      </x:c>
      <x:c r="B36" s="24" t="n">
        <x:v>46374</x:v>
      </x:c>
      <x:c r="C36" s="25" t="n">
        <x:v>0.4583333333333333</x:v>
      </x:c>
      <x:c r="D36" s="15" t="str">
        <x:v>D06</x:v>
      </x:c>
      <x:c r="E36" s="15" t="str">
        <x:v>Core</x:v>
      </x:c>
      <x:c r="F36" s="22" t="str">
        <x:v>Draft</x:v>
      </x:c>
      <x:c r="G36" s="22" t="str"/>
      <x:c r="H36" s="15" t="str">
        <x:v>Read the subscription details before you choose</x:v>
      </x:c>
      <x:c r="I36" s="15" t="str">
        <x:v>Before choosing a digital-card subscription, check the included features, billing interval, plan limits, renewal and cancellation terms. Compare what you actually need, not only the headline price. Our subscription prices are quoted + GST. Ask for the current plan details before signing up.
Use the profile link to request subscription plan details.</x:v>
      </x:c>
      <x:c r="J36" s="15" t="str"/>
      <x:c r="K36" s="15" t="str">
        <x:v>Learn more</x:v>
      </x:c>
      <x:c r="L36" s="15" t="str">
        <x:v>https://elan-tech.net/contact/?utm_source=google_business&amp;utm_medium=social&amp;utm_campaign=q4_2026_digital_card&amp;utm_content=d06</x:v>
      </x:c>
      <x:c r="M36" s="15" t="str">
        <x:v>Update + image</x:v>
      </x:c>
      <x:c r="N36" s="15" t="str">
        <x:v>Read the subscription details before you choose
What features are included?</x:v>
      </x:c>
      <x:c r="O36" s="15" t="str">
        <x:v>Clean five-panel plan-reading guide. Do not invent a tier, free plan, fee or cancellation promise. Insert actual prices only after approval, always beside + GST. Use one central focal point and only the headline on image.</x:v>
      </x:c>
      <x:c r="P36" s="15" t="str">
        <x:v>1200 × 900 px</x:v>
      </x:c>
      <x:c r="Q36" s="15" t="str">
        <x:v>Read the subscription details before you choose. What features are included?. How often is the plan billed?. What limits apply?. Original illustrative graphic by eLan Technology.</x:v>
      </x:c>
      <x:c r="R36" s="15" t="str">
        <x:v>Approve plan terms before adding prices or purchase link No client assets or testimonials. No paid promotion. Test the destination and mobile contact journey. Do not add phone numbers to the post body. Preview profile action.</x:v>
      </x:c>
      <x:c r="S36" s="23" t="str">
        <x:v>☐</x:v>
      </x:c>
      <x:c r="T36" s="23" t="str">
        <x:v>☐</x:v>
      </x:c>
      <x:c r="U36" s="23" t="str">
        <x:v>☐</x:v>
      </x:c>
      <x:c r="V36" s="24"/>
      <x:c r="W36" s="22" t="str"/>
      <x:c r="X36" s="26"/>
      <x:c r="Y36" s="26"/>
      <x:c r="Z36" s="26"/>
      <x:c r="AA36" s="22" t="str"/>
      <x:c r="AB36"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7" ht="260" customHeight="1">
      <x:c r="A37" s="23" t="str">
        <x:v>☐</x:v>
      </x:c>
      <x:c r="B37" s="24" t="n">
        <x:v>46378</x:v>
      </x:c>
      <x:c r="C37" s="25" t="n">
        <x:v>0.4583333333333333</x:v>
      </x:c>
      <x:c r="D37" s="3" t="str">
        <x:v>D07</x:v>
      </x:c>
      <x:c r="E37" s="3" t="str">
        <x:v>Core</x:v>
      </x:c>
      <x:c r="F37" s="22" t="str">
        <x:v>Draft</x:v>
      </x:c>
      <x:c r="G37" s="22" t="str"/>
      <x:c r="H37" s="3" t="str">
        <x:v>Small website details worth getting right</x:v>
      </x:c>
      <x:c r="I37" s="3" t="str">
        <x:v>Readable text. A mobile menu that works. Useful product details. Clear form labels. Correct contact information. Visible keyboard focus. These details deserve attention because they affect everyday tasks. Save this list for your next website review, or ask us to discuss improvements.
Use the profile link to discuss website improvements.</x:v>
      </x:c>
      <x:c r="J37" s="3" t="str"/>
      <x:c r="K37" s="3" t="str">
        <x:v>Learn more</x:v>
      </x:c>
      <x:c r="L37" s="3" t="str">
        <x:v>https://elan-tech.net/contact/?utm_source=google_business&amp;utm_medium=social&amp;utm_campaign=q4_2026_websites&amp;utm_content=d07</x:v>
      </x:c>
      <x:c r="M37" s="3" t="str">
        <x:v>Update + image</x:v>
      </x:c>
      <x:c r="N37" s="3" t="str">
        <x:v>Small website details worth getting right
Read the text on a phone</x:v>
      </x:c>
      <x:c r="O37" s="3" t="str">
        <x:v>Six short original demo clips or six-slide carousel. One detail per frame, blue base with teal accents. No portfolio montage or client logos. Use one central focal point and only the headline on image.</x:v>
      </x:c>
      <x:c r="P37" s="3" t="str">
        <x:v>1200 × 900 px</x:v>
      </x:c>
      <x:c r="Q37" s="3" t="str">
        <x:v>Small website details worth getting right. Read the text on a phone. Use the mobile menu. Check product and service details. Original illustrative graphic by eLan Technology.</x:v>
      </x:c>
      <x:c r="R37" s="3" t="str">
        <x:v>Standard approval No client assets or testimonials. No paid promotion. Test the destination and mobile contact journey. Do not add phone numbers to the post body. Preview profile action.</x:v>
      </x:c>
      <x:c r="S37" s="23" t="str">
        <x:v>☐</x:v>
      </x:c>
      <x:c r="T37" s="23" t="str">
        <x:v>☐</x:v>
      </x:c>
      <x:c r="U37" s="23" t="str">
        <x:v>☐</x:v>
      </x:c>
      <x:c r="V37" s="24"/>
      <x:c r="W37" s="22" t="str"/>
      <x:c r="X37" s="26"/>
      <x:c r="Y37" s="26"/>
      <x:c r="Z37" s="26"/>
      <x:c r="AA37" s="22" t="str"/>
      <x:c r="AB37" s="22" t="str"/>
    </x:row>
    <x:row r="38" ht="260" customHeight="1">
      <x:c r="A38" s="23" t="str">
        <x:v>☐</x:v>
      </x:c>
      <x:c r="B38" s="24" t="n">
        <x:v>46381</x:v>
      </x:c>
      <x:c r="C38" s="25" t="n">
        <x:v>0.4583333333333333</x:v>
      </x:c>
      <x:c r="D38" s="15" t="str">
        <x:v>D08</x:v>
      </x:c>
      <x:c r="E38" s="15" t="str">
        <x:v>Optional</x:v>
      </x:c>
      <x:c r="F38" s="22" t="str">
        <x:v>Draft</x:v>
      </x:c>
      <x:c r="G38" s="22" t="str"/>
      <x:c r="H38" s="15" t="str">
        <x:v>Wishing you a warm and peaceful Christmas</x:v>
      </x:c>
      <x:c r="I38" s="15" t="str">
        <x:v>Merry Christmas from eLan Technology. Wishing you time to rest, connect with the people who matter and enjoy the season.</x:v>
      </x:c>
      <x:c r="J38" s="15" t="str"/>
      <x:c r="K38" s="15" t="str">
        <x:v>No sales CTA</x:v>
      </x:c>
      <x:c r="L38" s="15" t="str"/>
      <x:c r="M38" s="15" t="str">
        <x:v>Update + image</x:v>
      </x:c>
      <x:c r="N38" s="15" t="str">
        <x:v>Wishing you a warm and peaceful Christmas
Merry Christmas</x:v>
      </x:c>
      <x:c r="O38" s="15" t="str">
        <x:v>Bright cream card, fine blue line illustration of a tree with a small orange star. Minimal five-second animation optional. No price, sale, client assets or CTA. Use one central focal point and only the headline on image.</x:v>
      </x:c>
      <x:c r="P38" s="15" t="str">
        <x:v>1200 × 900 px</x:v>
      </x:c>
      <x:c r="Q38" s="15" t="str">
        <x:v>Wishing you a warm and peaceful Christmas. Merry Christmas. Warm wishes from eLan Technology. Wishing you a peaceful holiday season. Original illustrative graphic by eLan Technology.</x:v>
      </x:c>
      <x:c r="R38" s="15" t="str">
        <x:v>Standard approval No client assets or testimonials. No paid promotion. Test the destination and mobile contact journey. Do not add phone numbers to the post body. Preview profile action.</x:v>
      </x:c>
      <x:c r="S38" s="23" t="str">
        <x:v>☐</x:v>
      </x:c>
      <x:c r="T38" s="23" t="str">
        <x:v>☐</x:v>
      </x:c>
      <x:c r="U38" s="23" t="str">
        <x:v>☐</x:v>
      </x:c>
      <x:c r="V38" s="24"/>
      <x:c r="W38" s="22" t="str"/>
      <x:c r="X38" s="26"/>
      <x:c r="Y38" s="26"/>
      <x:c r="Z38" s="26"/>
      <x:c r="AA38" s="22" t="str"/>
      <x:c r="AB38" s="22" t="str"/>
    </x:row>
    <x:row r="39" ht="260" customHeight="1">
      <x:c r="A39" s="23" t="str">
        <x:v>☐</x:v>
      </x:c>
      <x:c r="B39" s="24" t="n">
        <x:v>46385</x:v>
      </x:c>
      <x:c r="C39" s="25" t="n">
        <x:v>0.4583333333333333</x:v>
      </x:c>
      <x:c r="D39" s="3" t="str">
        <x:v>D09</x:v>
      </x:c>
      <x:c r="E39" s="3" t="str">
        <x:v>Core</x:v>
      </x:c>
      <x:c r="F39" s="22" t="str">
        <x:v>Draft</x:v>
      </x:c>
      <x:c r="G39" s="22" t="str"/>
      <x:c r="H39" s="3" t="str">
        <x:v>What should work better for your business next year?</x:v>
      </x:c>
      <x:c r="I39" s="3" t="str">
        <x:v>An easier introduction? A clearer business website? A store that fits the way you sell? Choose the customer task you most want to improve in 2027. Tell us the priority and we can discuss the right next step without adding features you do not need.
Use the profile link to tell us your 2027 priority.</x:v>
      </x:c>
      <x:c r="J39" s="3" t="str"/>
      <x:c r="K39" s="3" t="str">
        <x:v>Learn more</x:v>
      </x:c>
      <x:c r="L39" s="3" t="str">
        <x:v>https://elan-tech.net/contact/?utm_source=google_business&amp;utm_medium=social&amp;utm_campaign=q4_2026_websites&amp;utm_content=d09</x:v>
      </x:c>
      <x:c r="M39" s="3" t="str">
        <x:v>Update + image</x:v>
      </x:c>
      <x:c r="N39" s="3" t="str">
        <x:v>What should work better for your business next year?
Make introductions easier</x:v>
      </x:c>
      <x:c r="O39" s="3" t="str">
        <x:v>Three distinct rectangular panels: introduction, business website, commerce. Original icons and sample layouts. Keep subscription product and development services separate. Use one central focal point and only the headline on image.</x:v>
      </x:c>
      <x:c r="P39" s="3" t="str">
        <x:v>1200 × 900 px</x:v>
      </x:c>
      <x:c r="Q39" s="3" t="str">
        <x:v>What should work better for your business next year?. Make introductions easier. Explain services more clearly. Improve the shopping journey. Original illustrative graphic by eLan Technology.</x:v>
      </x:c>
      <x:c r="R39" s="3" t="str">
        <x:v>Standard approval No client assets or testimonials. No paid promotion. Test the destination and mobile contact journey. Do not add phone numbers to the post body. Preview profile action.</x:v>
      </x:c>
      <x:c r="S39" s="23" t="str">
        <x:v>☐</x:v>
      </x:c>
      <x:c r="T39" s="23" t="str">
        <x:v>☐</x:v>
      </x:c>
      <x:c r="U39" s="23" t="str">
        <x:v>☐</x:v>
      </x:c>
      <x:c r="V39" s="24"/>
      <x:c r="W39" s="22" t="str"/>
      <x:c r="X39" s="26"/>
      <x:c r="Y39" s="26"/>
      <x:c r="Z39" s="26"/>
      <x:c r="AA39" s="22" t="str"/>
      <x:c r="AB39" s="22" t="str"/>
    </x:row>
    <x:row r="40" ht="260" customHeight="1">
      <x:c r="A40" s="23" t="str">
        <x:v>☐</x:v>
      </x:c>
      <x:c r="B40" s="24" t="n">
        <x:v>46387</x:v>
      </x:c>
      <x:c r="C40" s="25" t="n">
        <x:v>0.4583333333333333</x:v>
      </x:c>
      <x:c r="D40" s="15" t="str">
        <x:v>D10</x:v>
      </x:c>
      <x:c r="E40" s="15" t="str">
        <x:v>Optional</x:v>
      </x:c>
      <x:c r="F40" s="22" t="str">
        <x:v>Draft</x:v>
      </x:c>
      <x:c r="G40" s="22" t="str"/>
      <x:c r="H40" s="15" t="str">
        <x:v>Thank you for being part of our year</x:v>
      </x:c>
      <x:c r="I40" s="15" t="str">
        <x:v>Thank you for the conversations, questions and encouragement this year. We look forward to helping businesses make their websites and digital experiences more useful in 2027. Wishing you a happy new year from eLan Technology.</x:v>
      </x:c>
      <x:c r="J40" s="15" t="str"/>
      <x:c r="K40" s="15" t="str">
        <x:v>No sales CTA</x:v>
      </x:c>
      <x:c r="L40" s="15" t="str"/>
      <x:c r="M40" s="15" t="str">
        <x:v>Update + image</x:v>
      </x:c>
      <x:c r="N40" s="15" t="str">
        <x:v>Thank you for being part of our year
Thank you for being part of our year</x:v>
      </x:c>
      <x:c r="O40" s="15" t="str">
        <x:v>20-second genuine founder thank-you, or a clean typographic animation. No client montage, invented annual totals or unapproved team claims. Use one central focal point and only the headline on image.</x:v>
      </x:c>
      <x:c r="P40" s="15" t="str">
        <x:v>1200 × 900 px</x:v>
      </x:c>
      <x:c r="Q40" s="15" t="str">
        <x:v>Thank you for being part of our year. Thank you for being part of our year. Here is to thoughtful work and clear communication. Wishing you a happy 2027. Original illustrative graphic by eLan Technology.</x:v>
      </x:c>
      <x:c r="R40" s="15" t="str">
        <x:v>Standard approval No client assets or testimonials. No paid promotion. Test the destination and mobile contact journey. Do not add phone numbers to the post body. Preview profile action.</x:v>
      </x:c>
      <x:c r="S40" s="23" t="str">
        <x:v>☐</x:v>
      </x:c>
      <x:c r="T40" s="23" t="str">
        <x:v>☐</x:v>
      </x:c>
      <x:c r="U40" s="23" t="str">
        <x:v>☐</x:v>
      </x:c>
      <x:c r="V40" s="24"/>
      <x:c r="W40" s="22" t="str"/>
      <x:c r="X40" s="26"/>
      <x:c r="Y40" s="26"/>
      <x:c r="Z40" s="26"/>
      <x:c r="AA40" s="22" t="str"/>
      <x:c r="AB40" s="22" t="str"/>
    </x:row>
  </x:sheetData>
  <x:conditionalFormatting sqref="A6:A40">
    <x:cfRule type="cellIs" dxfId="6" priority="1" operator="equal">
      <x:formula>"✓"</x:formula>
    </x:cfRule>
  </x:conditionalFormatting>
  <x:conditionalFormatting sqref="S6:U40">
    <x:cfRule type="cellIs" dxfId="7" priority="2" operator="equal">
      <x:formula>"✓"</x:formula>
    </x:cfRule>
  </x:conditionalFormatting>
  <x:dataValidations count="4">
    <x:dataValidation type="list" sqref="A6:A40">
      <x:formula1>"☐,✓,N/A"</x:formula1>
    </x:dataValidation>
    <x:dataValidation type="list" sqref="S6:U40">
      <x:formula1>"☐,✓"</x:formula1>
    </x:dataValidation>
    <x:dataValidation type="list" sqref="F6:F40">
      <x:formula1>"Draft,In production,Ready,Scheduled,Published,Hold,Skipped"</x:formula1>
    </x:dataValidation>
    <x:dataValidation type="list" sqref="E6:E40">
      <x:formula1>"Core,Conditional,Optional"</x:formula1>
    </x:dataValidation>
  </x:dataValidations>
  <x:pageMargins left="0.7" right="0.7" top="0.75" bottom="0.75" header="0.3" footer="0.3"/>
  <x:tableParts count="1">
    <x:tablePart xmlns:r="http://schemas.openxmlformats.org/officeDocument/2006/relationships" r:id="R97771335b8624109"/>
  </x:tableParts>
</x:worksheet>
</file>

<file path=xl/worksheets/sheet6.xml><?xml version="1.0" encoding="utf-8"?>
<x:worksheet xmlns:x="http://schemas.openxmlformats.org/spreadsheetml/2006/main">
  <x:sheetPr>
    <x:tabColor rgb="FF173C65"/>
  </x:sheetPr>
  <x:sheetViews>
    <x:sheetView showGridLines="0" workbookViewId="0">
      <x:pane xSplit="4" ySplit="5" topLeftCell="E6" activePane="bottomRight" state="frozen"/>
    </x:sheetView>
  </x:sheetViews>
  <x:sheetFormatPr defaultRowHeight="15"/>
  <x:cols>
    <x:col min="1" max="1" width="12" hidden="0" customWidth="1"/>
    <x:col min="2" max="2" width="15" hidden="0" customWidth="1"/>
    <x:col min="3" max="3" width="12" hidden="0" customWidth="1"/>
    <x:col min="4" max="4" width="11" hidden="0" customWidth="1"/>
    <x:col min="5" max="5" width="14" hidden="0" customWidth="1"/>
    <x:col min="6" max="6" width="15" hidden="0" customWidth="1"/>
    <x:col min="7" max="7" width="18" hidden="0" customWidth="1"/>
    <x:col min="8" max="8" width="39" hidden="0" customWidth="1"/>
    <x:col min="9" max="9" width="83" hidden="0" customWidth="1"/>
    <x:col min="10" max="10" width="30" hidden="0" customWidth="1"/>
    <x:col min="11" max="11" width="28" hidden="0" customWidth="1"/>
    <x:col min="12" max="12" width="48" hidden="0" customWidth="1"/>
    <x:col min="13" max="13" width="23" hidden="0" customWidth="1"/>
    <x:col min="14" max="14" width="63" hidden="0" customWidth="1"/>
    <x:col min="15" max="15" width="65" hidden="0" customWidth="1"/>
    <x:col min="16" max="16" width="22" hidden="0" customWidth="1"/>
    <x:col min="17" max="17" width="60" hidden="0" customWidth="1"/>
    <x:col min="18" max="18" width="64" hidden="0" customWidth="1"/>
    <x:col min="19" max="19" width="13" hidden="0" customWidth="1"/>
    <x:col min="20" max="20" width="13" hidden="0" customWidth="1"/>
    <x:col min="21" max="21" width="13" hidden="0" customWidth="1"/>
    <x:col min="22" max="22" width="15" hidden="0" customWidth="1"/>
    <x:col min="23" max="23" width="44" hidden="0" customWidth="1"/>
    <x:col min="24" max="24" width="15" hidden="0" customWidth="1"/>
    <x:col min="25" max="25" width="15" hidden="0" customWidth="1"/>
    <x:col min="26" max="26" width="18" hidden="0" customWidth="1"/>
    <x:col min="27" max="27" width="40" hidden="0" customWidth="1"/>
    <x:col min="28" max="28" width="65" hidden="0" customWidth="1"/>
  </x:cols>
  <x:sheetData>
    <x:row r="1" ht="28" customHeight="1">
      <x:c r="A1" s="5" t="str">
        <x:v>Pinterest calendar</x:v>
      </x:c>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22" customHeight="1">
      <x:c r="A2" s="7" t="str">
        <x:v>11 September–31 December 2026. Tick Published only after it is live. Amber cells are tracking inputs. Scroll right for complete copy and visuals.</x:v>
      </x:c>
      <x:c r="B2" s="3"/>
      <x:c r="C2" s="3"/>
      <x:c r="D2" s="3"/>
      <x:c r="E2" s="3"/>
      <x:c r="F2" s="3"/>
      <x:c r="G2" s="3"/>
      <x:c r="H2" s="3"/>
      <x:c r="I2" s="3"/>
      <x:c r="J2" s="3"/>
      <x:c r="K2" s="3"/>
      <x:c r="L2" s="3"/>
      <x:c r="M2" s="3"/>
      <x:c r="N2" s="3"/>
      <x:c r="O2" s="3"/>
      <x:c r="P2" s="3"/>
      <x:c r="Q2" s="3"/>
      <x:c r="R2" s="3"/>
      <x:c r="S2" s="3"/>
      <x:c r="T2" s="3"/>
      <x:c r="U2" s="3"/>
      <x:c r="V2" s="3"/>
      <x:c r="W2" s="3"/>
      <x:c r="X2" s="3"/>
      <x:c r="Y2" s="3"/>
      <x:c r="Z2" s="3"/>
      <x:c r="AA2" s="3"/>
      <x:c r="AB2" s="3"/>
    </x:row>
    <x:row r="3">
      <x:c r="A3" s="8"/>
      <x:c r="B3" s="8"/>
      <x:c r="C3" s="8"/>
      <x:c r="D3" s="8"/>
      <x:c r="E3" s="8"/>
      <x:c r="F3" s="8"/>
      <x:c r="G3" s="8"/>
      <x:c r="H3" s="8"/>
      <x:c r="I3" s="8"/>
      <x:c r="J3" s="8"/>
      <x:c r="K3" s="8"/>
      <x:c r="L3" s="8"/>
      <x:c r="M3" s="8"/>
      <x:c r="N3" s="8"/>
      <x:c r="O3" s="8"/>
      <x:c r="P3" s="8"/>
      <x:c r="Q3" s="8"/>
      <x:c r="R3" s="8"/>
      <x:c r="S3" s="8"/>
      <x:c r="T3" s="8"/>
      <x:c r="U3" s="8"/>
      <x:c r="V3" s="8"/>
      <x:c r="W3" s="8"/>
      <x:c r="X3" s="8"/>
      <x:c r="Y3" s="8"/>
      <x:c r="Z3" s="8"/>
      <x:c r="AA3" s="8"/>
      <x:c r="AB3" s="8"/>
    </x:row>
    <x:row r="4">
      <x:c r="A4" s="3"/>
      <x:c r="B4" s="3"/>
      <x:c r="C4" s="3"/>
      <x:c r="D4" s="3"/>
      <x:c r="E4" s="3"/>
      <x:c r="F4" s="3"/>
      <x:c r="G4" s="3"/>
      <x:c r="H4" s="3"/>
      <x:c r="I4" s="3"/>
      <x:c r="J4" s="3"/>
      <x:c r="K4" s="3"/>
      <x:c r="L4" s="3"/>
      <x:c r="M4" s="3"/>
      <x:c r="N4" s="3"/>
      <x:c r="O4" s="3"/>
      <x:c r="P4" s="3"/>
      <x:c r="Q4" s="3"/>
      <x:c r="R4" s="3"/>
      <x:c r="S4" s="3"/>
      <x:c r="T4" s="3"/>
      <x:c r="U4" s="3"/>
      <x:c r="V4" s="3"/>
      <x:c r="W4" s="3"/>
      <x:c r="X4" s="3"/>
      <x:c r="Y4" s="3"/>
      <x:c r="Z4" s="3"/>
      <x:c r="AA4" s="3"/>
      <x:c r="AB4" s="3"/>
    </x:row>
    <x:row r="5" ht="36" customHeight="1">
      <x:c r="A5" s="12" t="str">
        <x:v>Published</x:v>
      </x:c>
      <x:c r="B5" s="13" t="str">
        <x:v>Planned date</x:v>
      </x:c>
      <x:c r="C5" s="13" t="str">
        <x:v>Time IST</x:v>
      </x:c>
      <x:c r="D5" s="13" t="str">
        <x:v>Post ID</x:v>
      </x:c>
      <x:c r="E5" s="13" t="str">
        <x:v>Priority</x:v>
      </x:c>
      <x:c r="F5" s="13" t="str">
        <x:v>Workflow</x:v>
      </x:c>
      <x:c r="G5" s="13" t="str">
        <x:v>Owner</x:v>
      </x:c>
      <x:c r="H5" s="13" t="str">
        <x:v>Post heading</x:v>
      </x:c>
      <x:c r="I5" s="13" t="str">
        <x:v>Full caption / Status text</x:v>
      </x:c>
      <x:c r="J5" s="13" t="str">
        <x:v>Hashtags</x:v>
      </x:c>
      <x:c r="K5" s="13" t="str">
        <x:v>Call to action</x:v>
      </x:c>
      <x:c r="L5" s="13" t="str">
        <x:v>Destination URL</x:v>
      </x:c>
      <x:c r="M5" s="13" t="str">
        <x:v>Format</x:v>
      </x:c>
      <x:c r="N5" s="13" t="str">
        <x:v>On-artwork text / slides</x:v>
      </x:c>
      <x:c r="O5" s="13" t="str">
        <x:v>Graphic / video direction</x:v>
      </x:c>
      <x:c r="P5" s="13" t="str">
        <x:v>Canvas size</x:v>
      </x:c>
      <x:c r="Q5" s="13" t="str">
        <x:v>Suggested alt text</x:v>
      </x:c>
      <x:c r="R5" s="13" t="str">
        <x:v>Before publishing</x:v>
      </x:c>
      <x:c r="S5" s="13" t="str">
        <x:v>Copy approved</x:v>
      </x:c>
      <x:c r="T5" s="13" t="str">
        <x:v>Asset ready</x:v>
      </x:c>
      <x:c r="U5" s="13" t="str">
        <x:v>Link tested</x:v>
      </x:c>
      <x:c r="V5" s="13" t="str">
        <x:v>Actual date</x:v>
      </x:c>
      <x:c r="W5" s="13" t="str">
        <x:v>Published URL</x:v>
      </x:c>
      <x:c r="X5" s="13" t="str">
        <x:v>Reach / views</x:v>
      </x:c>
      <x:c r="Y5" s="13" t="str">
        <x:v>Link clicks</x:v>
      </x:c>
      <x:c r="Z5" s="13" t="str">
        <x:v>Qualified enquiries</x:v>
      </x:c>
      <x:c r="AA5" s="13" t="str">
        <x:v>Notes</x:v>
      </x:c>
      <x:c r="AB5" s="14" t="str">
        <x:v>Fallback caption</x:v>
      </x:c>
    </x:row>
    <x:row r="6" ht="260" customHeight="1">
      <x:c r="A6" s="23" t="str">
        <x:v>☐</x:v>
      </x:c>
      <x:c r="B6" s="24" t="n">
        <x:v>46276</x:v>
      </x:c>
      <x:c r="C6" s="25" t="n">
        <x:v>0.8333333333333334</x:v>
      </x:c>
      <x:c r="D6" s="15" t="str">
        <x:v>S01</x:v>
      </x:c>
      <x:c r="E6" s="15" t="str">
        <x:v>Optional</x:v>
      </x:c>
      <x:c r="F6" s="22" t="str">
        <x:v>Draft</x:v>
      </x:c>
      <x:c r="G6" s="22" t="str"/>
      <x:c r="H6" s="15" t="str">
        <x:v>Business website planning for Indian businesses</x:v>
      </x:c>
      <x:c r="I6" s="15" t="str">
        <x:v>Business website planning for Indian businesses. Digital Launchpad opens 14 September. One plan: ₹32,000 + GST. Bookings: 14–25 September 2026. September 2026 offer: ₹32,000 + GST, bookings 14–25 September only. Save this checklist and visit the linked page to request the offer details.</x:v>
      </x:c>
      <x:c r="J6" s="15" t="str"/>
      <x:c r="K6" s="15" t="str">
        <x:v>Request the offer details</x:v>
      </x:c>
      <x:c r="L6" s="15" t="str">
        <x:v>https://elan-tech.net/pricing/digital-launchpad/?utm_source=pinterest&amp;utm_medium=social&amp;utm_campaign=q4_2026_launchpad&amp;utm_content=s01</x:v>
      </x:c>
      <x:c r="M6" s="15" t="str">
        <x:v>Static Pin</x:v>
      </x:c>
      <x:c r="N6" s="15" t="str">
        <x:v>Business website planning for Indian businesses
1. Digital Launchpad opens 14 September
2. One plan: ₹32,000 + GST
3. Bookings: 14–25 September 2026
₹32,000 + GST
14–25 September 2026</x:v>
      </x:c>
      <x:c r="O6" s="15" t="str">
        <x:v>Cream background, orange date strip and blue headline. Build an original desktop-and-phone wireframe, clearly labelled Sample layout. No client screens. Keep + GST as prominent as the price. Recompose as one vertical checklist, not a crop of the carousel.</x:v>
      </x:c>
      <x:c r="P6" s="15" t="str">
        <x:v>1000 × 1500 px</x:v>
      </x:c>
      <x:c r="Q6" s="15" t="str">
        <x:v>A fresh start for your business online. Digital Launchpad opens 14 September. One plan: ₹32,000 + GST. Bookings: 14–25 September 2026. Digital Launchpad costs ₹32,000 plus GST, with bookings from 14 to 25 September 2026. Original illustrative graphic by eLan Technology.</x:v>
      </x:c>
      <x:c r="R6" s="15" t="str">
        <x:v>Approve final scope and offer landing page before publication No client assets or testimonials. No paid promotion. Optional time-limited Pin: update expiry destination on 26 September. Test the destination and mobile contact journey.</x:v>
      </x:c>
      <x:c r="S6" s="23" t="str">
        <x:v>☐</x:v>
      </x:c>
      <x:c r="T6" s="23" t="str">
        <x:v>☐</x:v>
      </x:c>
      <x:c r="U6" s="23" t="str">
        <x:v>☐</x:v>
      </x:c>
      <x:c r="V6" s="24"/>
      <x:c r="W6" s="22" t="str"/>
      <x:c r="X6" s="26"/>
      <x:c r="Y6" s="26"/>
      <x:c r="Z6" s="26"/>
      <x:c r="AA6" s="22" t="str"/>
      <x:c r="AB6" s="22" t="str"/>
    </x:row>
    <x:row r="7" ht="260" customHeight="1">
      <x:c r="A7" s="23" t="str">
        <x:v>☐</x:v>
      </x:c>
      <x:c r="B7" s="24" t="n">
        <x:v>46279</x:v>
      </x:c>
      <x:c r="C7" s="25" t="n">
        <x:v>0.8333333333333334</x:v>
      </x:c>
      <x:c r="D7" s="3" t="str">
        <x:v>S02</x:v>
      </x:c>
      <x:c r="E7" s="3" t="str">
        <x:v>Optional</x:v>
      </x:c>
      <x:c r="F7" s="22" t="str">
        <x:v>Draft</x:v>
      </x:c>
      <x:c r="G7" s="22" t="str"/>
      <x:c r="H7" s="3" t="str">
        <x:v>Digital Launchpad business website offer September 2026</x:v>
      </x:c>
      <x:c r="I7" s="3" t="str">
        <x:v>Digital Launchpad business website offer September 2026. Digital Launchpad is now open. ₹32,000 + GST. 14–25 September 2026. September 2026 offer: ₹32,000 + GST, bookings 14–25 September only. Save this checklist and visit the linked page to request this offer.</x:v>
      </x:c>
      <x:c r="J7" s="3" t="str"/>
      <x:c r="K7" s="3" t="str">
        <x:v>Request this offer</x:v>
      </x:c>
      <x:c r="L7" s="3" t="str">
        <x:v>https://elan-tech.net/pricing/digital-launchpad/?utm_source=pinterest&amp;utm_medium=social&amp;utm_campaign=q4_2026_launchpad&amp;utm_content=s02</x:v>
      </x:c>
      <x:c r="M7" s="3" t="str">
        <x:v>Static Pin</x:v>
      </x:c>
      <x:c r="N7" s="3" t="str">
        <x:v>Digital Launchpad business website offer September 2026
1. Digital Launchpad is now open
2. ₹32,000 + GST
3. 14–25 September 2026
₹32,000 + GST
14–25 September 2026</x:v>
      </x:c>
      <x:c r="O7" s="3" t="str">
        <x:v>Price-led poster with a clean rectangular sample browser. Large ₹32,000, visible + GST beside it, booking dates below. Avoid a long feature list until inclusions are approved. Recompose as one vertical checklist, not a crop of the carousel.</x:v>
      </x:c>
      <x:c r="P7" s="3" t="str">
        <x:v>1000 × 1500 px</x:v>
      </x:c>
      <x:c r="Q7" s="3" t="str">
        <x:v>Digital Launchpad is open: ₹32,000 + GST. Digital Launchpad is now open. ₹32,000 + GST. 14–25 September 2026. Digital Launchpad costs ₹32,000 plus GST, with bookings from 14 to 25 September 2026. Original illustrative graphic by eLan Technology.</x:v>
      </x:c>
      <x:c r="R7" s="3" t="str">
        <x:v>Approve scope, payment terms and offer page; GBP Offer ends 25 September 2026 No client assets or testimonials. No paid promotion. Optional time-limited Pin: update expiry destination on 26 September. Test the destination and mobile contact journey.</x:v>
      </x:c>
      <x:c r="S7" s="23" t="str">
        <x:v>☐</x:v>
      </x:c>
      <x:c r="T7" s="23" t="str">
        <x:v>☐</x:v>
      </x:c>
      <x:c r="U7" s="23" t="str">
        <x:v>☐</x:v>
      </x:c>
      <x:c r="V7" s="24"/>
      <x:c r="W7" s="22" t="str"/>
      <x:c r="X7" s="26"/>
      <x:c r="Y7" s="26"/>
      <x:c r="Z7" s="26"/>
      <x:c r="AA7" s="22" t="str"/>
      <x:c r="AB7" s="22" t="str"/>
    </x:row>
    <x:row r="8" ht="260" customHeight="1">
      <x:c r="A8" s="23" t="str">
        <x:v>☐</x:v>
      </x:c>
      <x:c r="B8" s="24" t="n">
        <x:v>46281</x:v>
      </x:c>
      <x:c r="C8" s="25" t="n">
        <x:v>0.8333333333333334</x:v>
      </x:c>
      <x:c r="D8" s="15" t="str">
        <x:v>S03</x:v>
      </x:c>
      <x:c r="E8" s="15" t="str">
        <x:v>Optional</x:v>
      </x:c>
      <x:c r="F8" s="22" t="str">
        <x:v>Draft</x:v>
      </x:c>
      <x:c r="G8" s="22" t="str"/>
      <x:c r="H8" s="15" t="str">
        <x:v>What to check in a business website package</x:v>
      </x:c>
      <x:c r="I8" s="15" t="str">
        <x:v>What to check in a business website package. What does the package cover?. Check pages, content and revisions. Check hosting and ongoing support. September 2026 offer: ₹32,000 + GST, bookings 14–25 September only. Save this checklist and visit the linked page to ask for the package scope.</x:v>
      </x:c>
      <x:c r="J8" s="15" t="str"/>
      <x:c r="K8" s="15" t="str">
        <x:v>Ask for the package scope</x:v>
      </x:c>
      <x:c r="L8" s="15" t="str">
        <x:v>https://elan-tech.net/pricing/digital-launchpad/?utm_source=pinterest&amp;utm_medium=social&amp;utm_campaign=q4_2026_launchpad&amp;utm_content=s03</x:v>
      </x:c>
      <x:c r="M8" s="15" t="str">
        <x:v>Static Pin</x:v>
      </x:c>
      <x:c r="N8" s="15" t="str">
        <x:v>What to check in a business website package
1. What does the package cover?
2. Check pages, content and revisions
3. Check hosting and ongoing support
₹32,000 + GST
14–25 September 2026</x:v>
      </x:c>
      <x:c r="O8" s="15" t="str">
        <x:v>Five-slide checklist. Each slide asks one scope question. Use outlined page, pencil, server and document symbols. Do not portray a question as an included feature. Recompose as one vertical checklist, not a crop of the carousel.</x:v>
      </x:c>
      <x:c r="P8" s="15" t="str">
        <x:v>1000 × 1500 px</x:v>
      </x:c>
      <x:c r="Q8" s="15" t="str">
        <x:v>Before booking, know what is included. What does the package cover?. Check pages, content and revisions. Check hosting and ongoing support. Digital Launchpad costs ₹32,000 plus GST, with bookings from 14 to 25 September 2026. Original illustrative graphic by eLan Technology.</x:v>
      </x:c>
      <x:c r="R8" s="15" t="str">
        <x:v>Written scope must be approved; do not insert unconfirmed inclusions No client assets or testimonials. No paid promotion. Optional time-limited Pin: update expiry destination on 26 September. Test the destination and mobile contact journey.</x:v>
      </x:c>
      <x:c r="S8" s="23" t="str">
        <x:v>☐</x:v>
      </x:c>
      <x:c r="T8" s="23" t="str">
        <x:v>☐</x:v>
      </x:c>
      <x:c r="U8" s="23" t="str">
        <x:v>☐</x:v>
      </x:c>
      <x:c r="V8" s="24"/>
      <x:c r="W8" s="22" t="str"/>
      <x:c r="X8" s="26"/>
      <x:c r="Y8" s="26"/>
      <x:c r="Z8" s="26"/>
      <x:c r="AA8" s="22" t="str"/>
      <x:c r="AB8" s="22" t="str"/>
    </x:row>
    <x:row r="9" ht="260" customHeight="1">
      <x:c r="A9" s="23" t="str">
        <x:v>☐</x:v>
      </x:c>
      <x:c r="B9" s="24" t="n">
        <x:v>46283</x:v>
      </x:c>
      <x:c r="C9" s="25" t="n">
        <x:v>0.8333333333333334</x:v>
      </x:c>
      <x:c r="D9" s="3" t="str">
        <x:v>S04</x:v>
      </x:c>
      <x:c r="E9" s="3" t="str">
        <x:v>Optional</x:v>
      </x:c>
      <x:c r="F9" s="22" t="str">
        <x:v>Draft</x:v>
      </x:c>
      <x:c r="G9" s="22" t="str"/>
      <x:c r="H9" s="3" t="str">
        <x:v>Business website enquiry journey checklist</x:v>
      </x:c>
      <x:c r="I9" s="3" t="str">
        <x:v>Business website enquiry journey checklist. Can visitors understand your service?. Can they find contact options on mobile?. Does the enquiry reach your inbox?. September 2026 offer: ₹32,000 + GST, bookings 14–25 September only. Save this checklist and visit the linked page to request the offer details.</x:v>
      </x:c>
      <x:c r="J9" s="3" t="str"/>
      <x:c r="K9" s="3" t="str">
        <x:v>Request the offer details</x:v>
      </x:c>
      <x:c r="L9" s="3" t="str">
        <x:v>https://elan-tech.net/pricing/digital-launchpad/?utm_source=pinterest&amp;utm_medium=social&amp;utm_campaign=q4_2026_launchpad&amp;utm_content=s04</x:v>
      </x:c>
      <x:c r="M9" s="3" t="str">
        <x:v>Static Pin</x:v>
      </x:c>
      <x:c r="N9" s="3" t="str">
        <x:v>Business website enquiry journey checklist
1. Can visitors understand your service?
2. Can they find contact options on mobile?
3. Does the enquiry reach your inbox?
₹32,000 + GST
14–25 September 2026</x:v>
      </x:c>
      <x:c r="O9" s="3" t="str">
        <x:v>25-second screen recording of an original sample site. Show service, contact route and a sandbox form confirmation. Persistent Demonstration label. Never show a real lead or inbox. Recompose as one vertical checklist, not a crop of the carousel.</x:v>
      </x:c>
      <x:c r="P9" s="3" t="str">
        <x:v>1000 × 1500 px</x:v>
      </x:c>
      <x:c r="Q9" s="3" t="str">
        <x:v>Make it easy for visitors to enquire. Can visitors understand your service?. Can they find contact options on mobile?. Does the enquiry reach your inbox?. Digital Launchpad costs ₹32,000 plus GST, with bookings from 14 to 25 September 2026. Original illustrative graphic by eLan Technology.</x:v>
      </x:c>
      <x:c r="R9" s="3" t="str">
        <x:v>Test the demo; approve offer scope; no claim of guaranteed enquiries No client assets or testimonials. No paid promotion. Optional time-limited Pin: update expiry destination on 26 September. Test the destination and mobile contact journey.</x:v>
      </x:c>
      <x:c r="S9" s="23" t="str">
        <x:v>☐</x:v>
      </x:c>
      <x:c r="T9" s="23" t="str">
        <x:v>☐</x:v>
      </x:c>
      <x:c r="U9" s="23" t="str">
        <x:v>☐</x:v>
      </x:c>
      <x:c r="V9" s="24"/>
      <x:c r="W9" s="22" t="str"/>
      <x:c r="X9" s="26"/>
      <x:c r="Y9" s="26"/>
      <x:c r="Z9" s="26"/>
      <x:c r="AA9" s="22" t="str"/>
      <x:c r="AB9" s="22" t="str"/>
    </x:row>
    <x:row r="10" ht="260" customHeight="1">
      <x:c r="A10" s="23" t="str">
        <x:v>☐</x:v>
      </x:c>
      <x:c r="B10" s="24" t="n">
        <x:v>46286</x:v>
      </x:c>
      <x:c r="C10" s="25" t="n">
        <x:v>0.8333333333333334</x:v>
      </x:c>
      <x:c r="D10" s="15" t="str">
        <x:v>S05</x:v>
      </x:c>
      <x:c r="E10" s="15" t="str">
        <x:v>Optional</x:v>
      </x:c>
      <x:c r="F10" s="22" t="str">
        <x:v>Draft</x:v>
      </x:c>
      <x:c r="G10" s="22" t="str"/>
      <x:c r="H10" s="15" t="str">
        <x:v>Five questions to ask a website development company</x:v>
      </x:c>
      <x:c r="I10" s="15" t="str">
        <x:v>Five questions to ask a website development company. Who provides the content?. How many revisions are agreed?. Which costs renew?. September 2026 offer: ₹32,000 + GST, bookings 14–25 September only. Save this checklist and visit the linked page to discuss your website requirements.</x:v>
      </x:c>
      <x:c r="J10" s="15" t="str"/>
      <x:c r="K10" s="15" t="str">
        <x:v>Discuss your website requirements</x:v>
      </x:c>
      <x:c r="L10" s="15" t="str">
        <x:v>https://elan-tech.net/pricing/digital-launchpad/?utm_source=pinterest&amp;utm_medium=social&amp;utm_campaign=q4_2026_launchpad&amp;utm_content=s05</x:v>
      </x:c>
      <x:c r="M10" s="15" t="str">
        <x:v>Static Pin</x:v>
      </x:c>
      <x:c r="N10" s="15" t="str">
        <x:v>Five questions to ask a website development company
1. Who provides the content?
2. How many revisions are agreed?
3. Which costs renew?
₹32,000 + GST
14–25 September 2026</x:v>
      </x:c>
      <x:c r="O10" s="15" t="str">
        <x:v>Five numbered rectangular question cards, with a sixth closing panel. Blue type on white, restrained orange number blocks. Put the offer only on the closing slide. Recompose as one vertical checklist, not a crop of the carousel.</x:v>
      </x:c>
      <x:c r="P10" s="15" t="str">
        <x:v>1000 × 1500 px</x:v>
      </x:c>
      <x:c r="Q10" s="15" t="str">
        <x:v>Five questions before you book a website. Who provides the content?. How many revisions are agreed?. Which costs renew?. Digital Launchpad costs ₹32,000 plus GST, with bookings from 14 to 25 September 2026. Original illustrative graphic by eLan Technology.</x:v>
      </x:c>
      <x:c r="R10" s="15" t="str">
        <x:v>Confirm contractual wording and offer scope No client assets or testimonials. No paid promotion. Optional time-limited Pin: update expiry destination on 26 September. Test the destination and mobile contact journey.</x:v>
      </x:c>
      <x:c r="S10" s="23" t="str">
        <x:v>☐</x:v>
      </x:c>
      <x:c r="T10" s="23" t="str">
        <x:v>☐</x:v>
      </x:c>
      <x:c r="U10" s="23" t="str">
        <x:v>☐</x:v>
      </x:c>
      <x:c r="V10" s="24"/>
      <x:c r="W10" s="22" t="str"/>
      <x:c r="X10" s="26"/>
      <x:c r="Y10" s="26"/>
      <x:c r="Z10" s="26"/>
      <x:c r="AA10" s="22" t="str"/>
      <x:c r="AB10" s="22" t="str"/>
    </x:row>
    <x:row r="11" ht="260" customHeight="1">
      <x:c r="A11" s="23" t="str">
        <x:v>☐</x:v>
      </x:c>
      <x:c r="B11" s="24" t="n">
        <x:v>46288</x:v>
      </x:c>
      <x:c r="C11" s="25" t="n">
        <x:v>0.8333333333333334</x:v>
      </x:c>
      <x:c r="D11" s="3" t="str">
        <x:v>S06</x:v>
      </x:c>
      <x:c r="E11" s="3" t="str">
        <x:v>Optional</x:v>
      </x:c>
      <x:c r="F11" s="22" t="str">
        <x:v>Draft</x:v>
      </x:c>
      <x:c r="G11" s="22" t="str"/>
      <x:c r="H11" s="3" t="str">
        <x:v>How to prepare for a website consultation</x:v>
      </x:c>
      <x:c r="I11" s="3" t="str">
        <x:v>How to prepare for a website consultation. What should the website help people do?. What content is ready?. What support will you need?. September 2026 offer: ₹32,000 + GST, bookings 14–25 September only. Save this checklist and visit the linked page to ask about the offer.</x:v>
      </x:c>
      <x:c r="J11" s="3" t="str"/>
      <x:c r="K11" s="3" t="str">
        <x:v>Ask about the offer</x:v>
      </x:c>
      <x:c r="L11" s="3" t="str">
        <x:v>https://elan-tech.net/pricing/digital-launchpad/?utm_source=pinterest&amp;utm_medium=social&amp;utm_campaign=q4_2026_launchpad&amp;utm_content=s06</x:v>
      </x:c>
      <x:c r="M11" s="3" t="str">
        <x:v>Static Pin</x:v>
      </x:c>
      <x:c r="N11" s="3" t="str">
        <x:v>How to prepare for a website consultation
1. What should the website help people do?
2. What content is ready?
3. What support will you need?
₹32,000 + GST
14–25 September 2026</x:v>
      </x:c>
      <x:c r="O11" s="3" t="str">
        <x:v>Founder video, 25–35 seconds, bright uncluttered setting. Add three question captions and a final date/price card. Say Common questions, not You asked, unless questions were received. Recompose as one vertical checklist, not a crop of the carousel.</x:v>
      </x:c>
      <x:c r="P11" s="3" t="str">
        <x:v>1000 × 1500 px</x:v>
      </x:c>
      <x:c r="Q11" s="3" t="str">
        <x:v>Your Launchpad questions, answered. What should the website help people do?. What content is ready?. What support will you need?. Digital Launchpad costs ₹32,000 plus GST, with bookings from 14 to 25 September 2026. Original illustrative graphic by eLan Technology.</x:v>
      </x:c>
      <x:c r="R11" s="3" t="str">
        <x:v>Approve answers against actual package terms No client assets or testimonials. No paid promotion. Optional time-limited Pin: update expiry destination on 26 September. Test the destination and mobile contact journey.</x:v>
      </x:c>
      <x:c r="S11" s="23" t="str">
        <x:v>☐</x:v>
      </x:c>
      <x:c r="T11" s="23" t="str">
        <x:v>☐</x:v>
      </x:c>
      <x:c r="U11" s="23" t="str">
        <x:v>☐</x:v>
      </x:c>
      <x:c r="V11" s="24"/>
      <x:c r="W11" s="22" t="str"/>
      <x:c r="X11" s="26"/>
      <x:c r="Y11" s="26"/>
      <x:c r="Z11" s="26"/>
      <x:c r="AA11" s="22" t="str"/>
      <x:c r="AB11" s="22" t="str"/>
    </x:row>
    <x:row r="12" ht="260" customHeight="1">
      <x:c r="A12" s="23" t="str">
        <x:v>☐</x:v>
      </x:c>
      <x:c r="B12" s="24" t="n">
        <x:v>46290</x:v>
      </x:c>
      <x:c r="C12" s="25" t="n">
        <x:v>0.8333333333333334</x:v>
      </x:c>
      <x:c r="D12" s="15" t="str">
        <x:v>S07</x:v>
      </x:c>
      <x:c r="E12" s="15" t="str">
        <x:v>Optional</x:v>
      </x:c>
      <x:c r="F12" s="22" t="str">
        <x:v>Draft</x:v>
      </x:c>
      <x:c r="G12" s="22" t="str"/>
      <x:c r="H12" s="15" t="str">
        <x:v>Digital Launchpad September website offer closing date</x:v>
      </x:c>
      <x:c r="I12" s="15" t="str">
        <x:v>Digital Launchpad September website offer closing date. Bookings close today. 25 September 2026. ₹32,000 + GST. September 2026 offer: ₹32,000 + GST, bookings 14–25 September only. Save this checklist and visit the linked page to request the offer details today.</x:v>
      </x:c>
      <x:c r="J12" s="15" t="str"/>
      <x:c r="K12" s="15" t="str">
        <x:v>Request the offer details today</x:v>
      </x:c>
      <x:c r="L12" s="15" t="str">
        <x:v>https://elan-tech.net/pricing/digital-launchpad/?utm_source=pinterest&amp;utm_medium=social&amp;utm_campaign=q4_2026_launchpad&amp;utm_content=s07</x:v>
      </x:c>
      <x:c r="M12" s="15" t="str">
        <x:v>Static Pin</x:v>
      </x:c>
      <x:c r="N12" s="15" t="str">
        <x:v>Digital Launchpad September website offer closing date
1. Bookings close today
2. 25 September 2026
3. ₹32,000 + GST
₹32,000 + GST
14–25 September 2026</x:v>
      </x:c>
      <x:c r="O12" s="15" t="str">
        <x:v>One bold closing-date graphic. White, blue and orange. No countdown counter, remaining-slot claim or invented cutoff time. Create an expired version for the landing page after closure. Recompose as one vertical checklist, not a crop of the carousel.</x:v>
      </x:c>
      <x:c r="P12" s="15" t="str">
        <x:v>1000 × 1500 px</x:v>
      </x:c>
      <x:c r="Q12" s="15" t="str">
        <x:v>Last day for Digital Launchpad bookings. Bookings close today. 25 September 2026. ₹32,000 + GST. Digital Launchpad costs ₹32,000 plus GST, with bookings from 14 to 25 September 2026. Original illustrative graphic by eLan Technology.</x:v>
      </x:c>
      <x:c r="R12" s="15" t="str">
        <x:v>Confirm closing time and booking conditions; remove active promotion after expiry No client assets or testimonials. No paid promotion. Optional time-limited Pin: update expiry destination on 26 September. Test the destination and mobile contact journey.</x:v>
      </x:c>
      <x:c r="S12" s="23" t="str">
        <x:v>☐</x:v>
      </x:c>
      <x:c r="T12" s="23" t="str">
        <x:v>☐</x:v>
      </x:c>
      <x:c r="U12" s="23" t="str">
        <x:v>☐</x:v>
      </x:c>
      <x:c r="V12" s="24"/>
      <x:c r="W12" s="22" t="str"/>
      <x:c r="X12" s="26"/>
      <x:c r="Y12" s="26"/>
      <x:c r="Z12" s="26"/>
      <x:c r="AA12" s="22" t="str"/>
      <x:c r="AB12" s="22" t="str"/>
    </x:row>
    <x:row r="13" ht="260" customHeight="1">
      <x:c r="A13" s="23" t="str">
        <x:v>☐</x:v>
      </x:c>
      <x:c r="B13" s="24" t="n">
        <x:v>46294</x:v>
      </x:c>
      <x:c r="C13" s="25" t="n">
        <x:v>0.8333333333333334</x:v>
      </x:c>
      <x:c r="D13" s="3" t="str">
        <x:v>S08</x:v>
      </x:c>
      <x:c r="E13" s="3" t="str">
        <x:v>Core</x:v>
      </x:c>
      <x:c r="F13" s="22" t="str">
        <x:v>Draft</x:v>
      </x:c>
      <x:c r="G13" s="22" t="str"/>
      <x:c r="H13" s="3" t="str">
        <x:v>Custom Shopify design: five storefront planning checks</x:v>
      </x:c>
      <x:c r="I13" s="3" t="str">
        <x:v>Custom Shopify design: five storefront planning checks. Start with the shopping journey. Organise products clearly. Answer questions on product pages. Save this checklist and visit the linked page to request a shopify quote.</x:v>
      </x:c>
      <x:c r="J13" s="3" t="str"/>
      <x:c r="K13" s="3" t="str">
        <x:v>Request a Shopify quote</x:v>
      </x:c>
      <x:c r="L13" s="3" t="str">
        <x:v>https://elan-tech.net/services/ecommerce/shopify-development/?utm_source=pinterest&amp;utm_medium=social&amp;utm_campaign=q4_2026_shopify&amp;utm_content=s08</x:v>
      </x:c>
      <x:c r="M13" s="3" t="str">
        <x:v>Static Pin</x:v>
      </x:c>
      <x:c r="N13" s="3" t="str">
        <x:v>Custom Shopify design: five storefront planning checks
1. Start with the shopping journey
2. Organise products clearly
3. Answer questions on product pages</x:v>
      </x:c>
      <x:c r="O13" s="3" t="str">
        <x:v>Five-slide original shop wireframe using neutral sample products. Green accent, cream background. Zoom into collection, product details and mobile menu. Label all screens Demonstration. Recompose as one vertical checklist, not a crop of the carousel.</x:v>
      </x:c>
      <x:c r="P13" s="3" t="str">
        <x:v>1000 × 1500 px</x:v>
      </x:c>
      <x:c r="Q13" s="3" t="str">
        <x:v>A Shopify store should feel like your business. Start with the shopping journey. Organise products clearly. Answer questions on product pages. Original illustrative graphic by eLan Technology.</x:v>
      </x:c>
      <x:c r="R13" s="3" t="str">
        <x:v>Standard approval No client assets or testimonials. No paid promotion. Test the destination and mobile contact journey.</x:v>
      </x:c>
      <x:c r="S13" s="23" t="str">
        <x:v>☐</x:v>
      </x:c>
      <x:c r="T13" s="23" t="str">
        <x:v>☐</x:v>
      </x:c>
      <x:c r="U13" s="23" t="str">
        <x:v>☐</x:v>
      </x:c>
      <x:c r="V13" s="24"/>
      <x:c r="W13" s="22" t="str"/>
      <x:c r="X13" s="26"/>
      <x:c r="Y13" s="26"/>
      <x:c r="Z13" s="26"/>
      <x:c r="AA13" s="22" t="str"/>
      <x:c r="AB13" s="22" t="str"/>
    </x:row>
    <x:row r="14" ht="260" customHeight="1">
      <x:c r="A14" s="23" t="str">
        <x:v>☐</x:v>
      </x:c>
      <x:c r="B14" s="24" t="n">
        <x:v>46297</x:v>
      </x:c>
      <x:c r="C14" s="25" t="n">
        <x:v>0.8333333333333334</x:v>
      </x:c>
      <x:c r="D14" s="15" t="str">
        <x:v>O01</x:v>
      </x:c>
      <x:c r="E14" s="15" t="str">
        <x:v>Conditional</x:v>
      </x:c>
      <x:c r="F14" s="22" t="str">
        <x:v>Hold</x:v>
      </x:c>
      <x:c r="G14" s="22" t="str"/>
      <x:c r="H14" s="15" t="str">
        <x:v>Digital business card preview for business networking</x:v>
      </x:c>
      <x:c r="I14" s="15" t="str">
        <x:v>Digital business card preview for business networking. A digital business card is in preparation. Preview only. Final features and plans will follow. Digital-card prices are quoted + GST. Save this checklist and visit the linked page to express interest in the digital card.</x:v>
      </x:c>
      <x:c r="J14" s="15" t="str"/>
      <x:c r="K14" s="15" t="str">
        <x:v>Express interest in the digital card</x:v>
      </x:c>
      <x:c r="L14" s="15" t="str">
        <x:v>https://elan-tech.net/contact/?utm_source=pinterest&amp;utm_medium=social&amp;utm_campaign=q4_2026_digital_card&amp;utm_content=o01</x:v>
      </x:c>
      <x:c r="M14" s="15" t="str">
        <x:v>Static Pin</x:v>
      </x:c>
      <x:c r="N14" s="15" t="str">
        <x:v>Digital business card preview for business networking
1. A digital business card is in preparation
2. Preview only
3. Final features and plans will follow</x:v>
      </x:c>
      <x:c r="O14" s="15" t="str">
        <x:v>15-second actual preview recording with fictional sample data. Show only a tested profile and working sharing action. Preview label throughout. Do not publish an unverified domain. Recompose as one vertical checklist, not a crop of the carousel.</x:v>
      </x:c>
      <x:c r="P14" s="15" t="str">
        <x:v>1000 × 1500 px</x:v>
      </x:c>
      <x:c r="Q14" s="15" t="str">
        <x:v>One link for your business details. A digital business card is in preparation. Preview only. Final features and plans will follow. Original illustrative graphic by eLan Technology.</x:v>
      </x:c>
      <x:c r="R14" s="15" t="str">
        <x:v>Confirm working preview and approved brand/domain; not a public launch No client assets or testimonials. No paid promotion. Test the destination and mobile contact journey.</x:v>
      </x:c>
      <x:c r="S14" s="23" t="str">
        <x:v>☐</x:v>
      </x:c>
      <x:c r="T14" s="23" t="str">
        <x:v>☐</x:v>
      </x:c>
      <x:c r="U14" s="23" t="str">
        <x:v>☐</x:v>
      </x:c>
      <x:c r="V14" s="24"/>
      <x:c r="W14" s="22" t="str"/>
      <x:c r="X14" s="26"/>
      <x:c r="Y14" s="26"/>
      <x:c r="Z14" s="26"/>
      <x:c r="AA14" s="22" t="str"/>
      <x:c r="AB14"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15" ht="260" customHeight="1">
      <x:c r="A15" s="23" t="str">
        <x:v>☐</x:v>
      </x:c>
      <x:c r="B15" s="24" t="n">
        <x:v>46301</x:v>
      </x:c>
      <x:c r="C15" s="25" t="n">
        <x:v>0.8333333333333334</x:v>
      </x:c>
      <x:c r="D15" s="3" t="str">
        <x:v>O02</x:v>
      </x:c>
      <x:c r="E15" s="3" t="str">
        <x:v>Core</x:v>
      </x:c>
      <x:c r="F15" s="22" t="str">
        <x:v>Draft</x:v>
      </x:c>
      <x:c r="G15" s="22" t="str"/>
      <x:c r="H15" s="3" t="str">
        <x:v>Custom eCommerce workflow: orders, payments and shipping</x:v>
      </x:c>
      <x:c r="I15" s="3" t="str">
        <x:v>Custom eCommerce workflow: orders, payments and shipping. Customer places an order. Payment status is checked. Subscription rules apply where needed. Save this checklist and visit the linked page to discuss custom commerce.</x:v>
      </x:c>
      <x:c r="J15" s="3" t="str"/>
      <x:c r="K15" s="3" t="str">
        <x:v>Discuss custom commerce</x:v>
      </x:c>
      <x:c r="L15" s="3" t="str">
        <x:v>https://elan-tech.net/services/ecommerce/?utm_source=pinterest&amp;utm_medium=social&amp;utm_campaign=q4_2026_commerce&amp;utm_content=o02</x:v>
      </x:c>
      <x:c r="M15" s="3" t="str">
        <x:v>Static Pin</x:v>
      </x:c>
      <x:c r="N15" s="3" t="str">
        <x:v>Custom eCommerce workflow: orders, payments and shipping
1. Customer places an order
2. Payment status is checked
3. Subscription rules apply where needed</x:v>
      </x:c>
      <x:c r="O15" s="3" t="str">
        <x:v>Four-part original flow diagram with labelled arrows and one exception branch for payment failure. Indigo and teal accents. No client screens, order values or provider endorsement. Recompose as one vertical checklist, not a crop of the carousel.</x:v>
      </x:c>
      <x:c r="P15" s="3" t="str">
        <x:v>1000 × 1500 px</x:v>
      </x:c>
      <x:c r="Q15" s="3" t="str">
        <x:v>Connect the store to the work behind it. Customer places an order. Payment status is checked. Subscription rules apply where needed. Original illustrative graphic by eLan Technology.</x:v>
      </x:c>
      <x:c r="R15" s="3" t="str">
        <x:v>Standard approval No client assets or testimonials. No paid promotion. Test the destination and mobile contact journey.</x:v>
      </x:c>
      <x:c r="S15" s="23" t="str">
        <x:v>☐</x:v>
      </x:c>
      <x:c r="T15" s="23" t="str">
        <x:v>☐</x:v>
      </x:c>
      <x:c r="U15" s="23" t="str">
        <x:v>☐</x:v>
      </x:c>
      <x:c r="V15" s="24"/>
      <x:c r="W15" s="22" t="str"/>
      <x:c r="X15" s="26"/>
      <x:c r="Y15" s="26"/>
      <x:c r="Z15" s="26"/>
      <x:c r="AA15" s="22" t="str"/>
      <x:c r="AB15" s="22" t="str"/>
    </x:row>
    <x:row r="16" ht="260" customHeight="1">
      <x:c r="A16" s="23" t="str">
        <x:v>☐</x:v>
      </x:c>
      <x:c r="B16" s="24" t="n">
        <x:v>46304</x:v>
      </x:c>
      <x:c r="C16" s="25" t="n">
        <x:v>0.8333333333333334</x:v>
      </x:c>
      <x:c r="D16" s="15" t="str">
        <x:v>O03</x:v>
      </x:c>
      <x:c r="E16" s="15" t="str">
        <x:v>Core</x:v>
      </x:c>
      <x:c r="F16" s="22" t="str">
        <x:v>Draft</x:v>
      </x:c>
      <x:c r="G16" s="22" t="str"/>
      <x:c r="H16" s="15" t="str">
        <x:v>Website accessibility: a keyboard navigation checklist</x:v>
      </x:c>
      <x:c r="I16" s="15" t="str">
        <x:v>Website accessibility: a keyboard navigation checklist. Put the mouse aside. Use Tab to move through the page. Look for visible focus. Save this checklist and visit the linked page to request an accessibility assessment.</x:v>
      </x:c>
      <x:c r="J16" s="15" t="str"/>
      <x:c r="K16" s="15" t="str">
        <x:v>Request an accessibility assessment</x:v>
      </x:c>
      <x:c r="L16" s="15" t="str">
        <x:v>https://elan-tech.net/services/ada-compliant-web-design/?utm_source=pinterest&amp;utm_medium=social&amp;utm_campaign=q4_2026_accessibility&amp;utm_content=o03</x:v>
      </x:c>
      <x:c r="M16" s="15" t="str">
        <x:v>Static Pin</x:v>
      </x:c>
      <x:c r="N16" s="15" t="str">
        <x:v>Website accessibility: a keyboard navigation checklist
1. Put the mouse aside
2. Use Tab to move through the page
3. Look for visible focus</x:v>
      </x:c>
      <x:c r="O16" s="15" t="str">
        <x:v>25-second original demo. Show a clear focus outline moving through a menu and form. Add keypress captions. Teal on white, no fear imagery or lawsuit figures. Recompose as one vertical checklist, not a crop of the carousel.</x:v>
      </x:c>
      <x:c r="P16" s="15" t="str">
        <x:v>1000 × 1500 px</x:v>
      </x:c>
      <x:c r="Q16" s="15" t="str">
        <x:v>Can your website be used without a mouse?. Put the mouse aside. Use Tab to move through the page. Look for visible focus. Original illustrative graphic by eLan Technology.</x:v>
      </x:c>
      <x:c r="R16" s="15" t="str">
        <x:v>Standard approval No client assets or testimonials. No paid promotion. Test the destination and mobile contact journey.</x:v>
      </x:c>
      <x:c r="S16" s="23" t="str">
        <x:v>☐</x:v>
      </x:c>
      <x:c r="T16" s="23" t="str">
        <x:v>☐</x:v>
      </x:c>
      <x:c r="U16" s="23" t="str">
        <x:v>☐</x:v>
      </x:c>
      <x:c r="V16" s="24"/>
      <x:c r="W16" s="22" t="str"/>
      <x:c r="X16" s="26"/>
      <x:c r="Y16" s="26"/>
      <x:c r="Z16" s="26"/>
      <x:c r="AA16" s="22" t="str"/>
      <x:c r="AB16" s="22" t="str"/>
    </x:row>
    <x:row r="17" ht="260" customHeight="1">
      <x:c r="A17" s="23" t="str">
        <x:v>☐</x:v>
      </x:c>
      <x:c r="B17" s="24" t="n">
        <x:v>46308</x:v>
      </x:c>
      <x:c r="C17" s="25" t="n">
        <x:v>0.8333333333333334</x:v>
      </x:c>
      <x:c r="D17" s="3" t="str">
        <x:v>O04</x:v>
      </x:c>
      <x:c r="E17" s="3" t="str">
        <x:v>Conditional</x:v>
      </x:c>
      <x:c r="F17" s="22" t="str">
        <x:v>Hold</x:v>
      </x:c>
      <x:c r="G17" s="22" t="str"/>
      <x:c r="H17" s="3" t="str">
        <x:v>Digital business card pilot: what to test</x:v>
      </x:c>
      <x:c r="I17" s="3" t="str">
        <x:v>Digital business card pilot: what to test. Interested in a digital card pilot?. Test the setup journey. Check the profile details. Digital-card prices are quoted + GST. Save this checklist and visit the linked page to ask about the pilot.</x:v>
      </x:c>
      <x:c r="J17" s="3" t="str"/>
      <x:c r="K17" s="3" t="str">
        <x:v>Ask about the pilot</x:v>
      </x:c>
      <x:c r="L17" s="3" t="str">
        <x:v>https://elan-tech.net/contact/?utm_source=pinterest&amp;utm_medium=social&amp;utm_campaign=q4_2026_digital_card&amp;utm_content=o04</x:v>
      </x:c>
      <x:c r="M17" s="3" t="str">
        <x:v>Static Pin</x:v>
      </x:c>
      <x:c r="N17" s="3" t="str">
        <x:v>Digital business card pilot: what to test
1. Interested in a digital card pilot?
2. Test the setup journey
3. Check the profile details</x:v>
      </x:c>
      <x:c r="O17" s="3" t="str">
        <x:v>Three-screen walkthrough with fictional data. Show only working steps. Closing card invites interest, with no free-forever or guaranteed access claim. Recompose as one vertical checklist, not a crop of the carousel.</x:v>
      </x:c>
      <x:c r="P17" s="3" t="str">
        <x:v>1000 × 1500 px</x:v>
      </x:c>
      <x:c r="Q17" s="3" t="str">
        <x:v>Help us test a simpler business introduction. Interested in a digital card pilot?. Test the setup journey. Check the profile details. Original illustrative graphic by eLan Technology.</x:v>
      </x:c>
      <x:c r="R17" s="3" t="str">
        <x:v>Pilot must be approved, functional and have written terms before invitations No client assets or testimonials. No paid promotion. Test the destination and mobile contact journey.</x:v>
      </x:c>
      <x:c r="S17" s="23" t="str">
        <x:v>☐</x:v>
      </x:c>
      <x:c r="T17" s="23" t="str">
        <x:v>☐</x:v>
      </x:c>
      <x:c r="U17" s="23" t="str">
        <x:v>☐</x:v>
      </x:c>
      <x:c r="V17" s="24"/>
      <x:c r="W17" s="22" t="str"/>
      <x:c r="X17" s="26"/>
      <x:c r="Y17" s="26"/>
      <x:c r="Z17" s="26"/>
      <x:c r="AA17" s="22" t="str"/>
      <x:c r="AB17"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18" ht="260" customHeight="1">
      <x:c r="A18" s="23" t="str">
        <x:v>☐</x:v>
      </x:c>
      <x:c r="B18" s="24" t="n">
        <x:v>46311</x:v>
      </x:c>
      <x:c r="C18" s="25" t="n">
        <x:v>0.8333333333333334</x:v>
      </x:c>
      <x:c r="D18" s="15" t="str">
        <x:v>O05</x:v>
      </x:c>
      <x:c r="E18" s="15" t="str">
        <x:v>Core</x:v>
      </x:c>
      <x:c r="F18" s="22" t="str">
        <x:v>Draft</x:v>
      </x:c>
      <x:c r="G18" s="22" t="str"/>
      <x:c r="H18" s="15" t="str">
        <x:v>Website development quote checklist for business owners</x:v>
      </x:c>
      <x:c r="I18" s="15" t="str">
        <x:v>Website development quote checklist for business owners. List the deliverables. Agree who supplies content. Clarify revisions and approvals. Save this checklist and visit the linked page to request a scoped website quote.</x:v>
      </x:c>
      <x:c r="J18" s="15" t="str"/>
      <x:c r="K18" s="15" t="str">
        <x:v>Request a scoped website quote</x:v>
      </x:c>
      <x:c r="L18" s="15" t="str">
        <x:v>https://elan-tech.net/contact/?utm_source=pinterest&amp;utm_medium=social&amp;utm_campaign=q4_2026_websites&amp;utm_content=o05</x:v>
      </x:c>
      <x:c r="M18" s="15" t="str">
        <x:v>Static Pin</x:v>
      </x:c>
      <x:c r="N18" s="15" t="str">
        <x:v>Website development quote checklist for business owners
1. List the deliverables
2. Agree who supplies content
3. Clarify revisions and approvals</x:v>
      </x:c>
      <x:c r="O18" s="15" t="str">
        <x:v>Five clean document-style panels, orange highlights on key terms. No fake competitor quote or fabricated saving. Recompose as one vertical checklist, not a crop of the carousel.</x:v>
      </x:c>
      <x:c r="P18" s="15" t="str">
        <x:v>1000 × 1500 px</x:v>
      </x:c>
      <x:c r="Q18" s="15" t="str">
        <x:v>What should a website quote explain?. List the deliverables. Agree who supplies content. Clarify revisions and approvals. Original illustrative graphic by eLan Technology.</x:v>
      </x:c>
      <x:c r="R18" s="15" t="str">
        <x:v>Standard approval No client assets or testimonials. No paid promotion. Test the destination and mobile contact journey.</x:v>
      </x:c>
      <x:c r="S18" s="23" t="str">
        <x:v>☐</x:v>
      </x:c>
      <x:c r="T18" s="23" t="str">
        <x:v>☐</x:v>
      </x:c>
      <x:c r="U18" s="23" t="str">
        <x:v>☐</x:v>
      </x:c>
      <x:c r="V18" s="24"/>
      <x:c r="W18" s="22" t="str"/>
      <x:c r="X18" s="26"/>
      <x:c r="Y18" s="26"/>
      <x:c r="Z18" s="26"/>
      <x:c r="AA18" s="22" t="str"/>
      <x:c r="AB18" s="22" t="str"/>
    </x:row>
    <x:row r="19" ht="260" customHeight="1">
      <x:c r="A19" s="23" t="str">
        <x:v>☐</x:v>
      </x:c>
      <x:c r="B19" s="24" t="n">
        <x:v>46315</x:v>
      </x:c>
      <x:c r="C19" s="25" t="n">
        <x:v>0.8333333333333334</x:v>
      </x:c>
      <x:c r="D19" s="3" t="str">
        <x:v>O06</x:v>
      </x:c>
      <x:c r="E19" s="3" t="str">
        <x:v>Core</x:v>
      </x:c>
      <x:c r="F19" s="22" t="str">
        <x:v>Draft</x:v>
      </x:c>
      <x:c r="G19" s="22" t="str"/>
      <x:c r="H19" s="3" t="str">
        <x:v>Shopify vs WooCommerce vs Medusa.js for business owners</x:v>
      </x:c>
      <x:c r="I19" s="3" t="str">
        <x:v>Shopify vs WooCommerce vs Medusa.js for business owners. Shopify: managed commerce platform. WooCommerce: commerce on WordPress. Medusa.js: custom commerce development. Save this checklist and visit the linked page to discuss your ecommerce requirements.</x:v>
      </x:c>
      <x:c r="J19" s="3" t="str"/>
      <x:c r="K19" s="3" t="str">
        <x:v>Discuss your eCommerce requirements</x:v>
      </x:c>
      <x:c r="L19" s="3" t="str">
        <x:v>https://elan-tech.net/services/ecommerce/?utm_source=pinterest&amp;utm_medium=social&amp;utm_campaign=q4_2026_commerce&amp;utm_content=o06</x:v>
      </x:c>
      <x:c r="M19" s="3" t="str">
        <x:v>Static Pin</x:v>
      </x:c>
      <x:c r="N19" s="3" t="str">
        <x:v>Shopify vs WooCommerce vs Medusa.js for business owners
1. Shopify: managed commerce platform
2. WooCommerce: commerce on WordPress
3. Medusa.js: custom commerce development</x:v>
      </x:c>
      <x:c r="O19" s="3" t="str">
        <x:v>Three equal rectangular cards in green, purple and indigo. No winner badge. Final comparison slide lists operations, integrations and maintenance. Keep names as text unless approved logos are available. Recompose as one vertical checklist, not a crop of the carousel.</x:v>
      </x:c>
      <x:c r="P19" s="3" t="str">
        <x:v>1000 × 1500 px</x:v>
      </x:c>
      <x:c r="Q19" s="3" t="str">
        <x:v>Shopify, WooCommerce or Medusa.js?. Shopify: managed commerce platform. WooCommerce: commerce on WordPress. Medusa.js: custom commerce development. Original illustrative graphic by eLan Technology.</x:v>
      </x:c>
      <x:c r="R19" s="3" t="str">
        <x:v>Standard approval No client assets or testimonials. No paid promotion. Test the destination and mobile contact journey.</x:v>
      </x:c>
      <x:c r="S19" s="23" t="str">
        <x:v>☐</x:v>
      </x:c>
      <x:c r="T19" s="23" t="str">
        <x:v>☐</x:v>
      </x:c>
      <x:c r="U19" s="23" t="str">
        <x:v>☐</x:v>
      </x:c>
      <x:c r="V19" s="24"/>
      <x:c r="W19" s="22" t="str"/>
      <x:c r="X19" s="26"/>
      <x:c r="Y19" s="26"/>
      <x:c r="Z19" s="26"/>
      <x:c r="AA19" s="22" t="str"/>
      <x:c r="AB19" s="22" t="str"/>
    </x:row>
    <x:row r="20" ht="260" customHeight="1">
      <x:c r="A20" s="23" t="str">
        <x:v>☐</x:v>
      </x:c>
      <x:c r="B20" s="24" t="n">
        <x:v>46318</x:v>
      </x:c>
      <x:c r="C20" s="25" t="n">
        <x:v>0.8333333333333334</x:v>
      </x:c>
      <x:c r="D20" s="15" t="str">
        <x:v>O07</x:v>
      </x:c>
      <x:c r="E20" s="15" t="str">
        <x:v>Core</x:v>
      </x:c>
      <x:c r="F20" s="22" t="str">
        <x:v>Draft</x:v>
      </x:c>
      <x:c r="G20" s="22" t="str"/>
      <x:c r="H20" s="15" t="str">
        <x:v>Local business website content planning checklist</x:v>
      </x:c>
      <x:c r="I20" s="15" t="str">
        <x:v>Local business website content planning checklist. What do customers need to know?. Explain services in everyday language. State the real service area. Save this checklist and visit the linked page to request a business website quote.</x:v>
      </x:c>
      <x:c r="J20" s="15" t="str"/>
      <x:c r="K20" s="15" t="str">
        <x:v>Request a business website quote</x:v>
      </x:c>
      <x:c r="L20" s="15" t="str">
        <x:v>https://elan-tech.net/contact/?utm_source=pinterest&amp;utm_medium=social&amp;utm_campaign=q4_2026_websites&amp;utm_content=o07</x:v>
      </x:c>
      <x:c r="M20" s="15" t="str">
        <x:v>Static Pin</x:v>
      </x:c>
      <x:c r="N20" s="15" t="str">
        <x:v>Local business website content planning checklist
1. What do customers need to know?
2. Explain services in everyday language
3. State the real service area</x:v>
      </x:c>
      <x:c r="O20" s="15" t="str">
        <x:v>Original wireframe sequence: customer questions, service page, contact panel, phone view. Small Nagpur label, no fictional branch offices or client locations. Recompose as one vertical checklist, not a crop of the carousel.</x:v>
      </x:c>
      <x:c r="P20" s="15" t="str">
        <x:v>1000 × 1500 px</x:v>
      </x:c>
      <x:c r="Q20" s="15" t="str">
        <x:v>A local business website starts with real questions. What do customers need to know?. Explain services in everyday language. State the real service area. Original illustrative graphic by eLan Technology.</x:v>
      </x:c>
      <x:c r="R20" s="15" t="str">
        <x:v>Standard approval No client assets or testimonials. No paid promotion. Test the destination and mobile contact journey.</x:v>
      </x:c>
      <x:c r="S20" s="23" t="str">
        <x:v>☐</x:v>
      </x:c>
      <x:c r="T20" s="23" t="str">
        <x:v>☐</x:v>
      </x:c>
      <x:c r="U20" s="23" t="str">
        <x:v>☐</x:v>
      </x:c>
      <x:c r="V20" s="24"/>
      <x:c r="W20" s="22" t="str"/>
      <x:c r="X20" s="26"/>
      <x:c r="Y20" s="26"/>
      <x:c r="Z20" s="26"/>
      <x:c r="AA20" s="22" t="str"/>
      <x:c r="AB20" s="22" t="str"/>
    </x:row>
    <x:row r="21" ht="260" customHeight="1">
      <x:c r="A21" s="23" t="str">
        <x:v>☐</x:v>
      </x:c>
      <x:c r="B21" s="24" t="n">
        <x:v>46322</x:v>
      </x:c>
      <x:c r="C21" s="25" t="n">
        <x:v>0.8333333333333334</x:v>
      </x:c>
      <x:c r="D21" s="3" t="str">
        <x:v>O08</x:v>
      </x:c>
      <x:c r="E21" s="3" t="str">
        <x:v>Core</x:v>
      </x:c>
      <x:c r="F21" s="22" t="str">
        <x:v>Draft</x:v>
      </x:c>
      <x:c r="G21" s="22" t="str"/>
      <x:c r="H21" s="3" t="str">
        <x:v>Mobile checkout checklist for eCommerce stores</x:v>
      </x:c>
      <x:c r="I21" s="3" t="str">
        <x:v>Mobile checkout checklist for eCommerce stores. Try the journey on mobile. Check delivery-cost clarity. Read form error messages. Save this checklist and visit the linked page to discuss store improvements.</x:v>
      </x:c>
      <x:c r="J21" s="3" t="str"/>
      <x:c r="K21" s="3" t="str">
        <x:v>Discuss store improvements</x:v>
      </x:c>
      <x:c r="L21" s="3" t="str">
        <x:v>https://elan-tech.net/services/ecommerce/?utm_source=pinterest&amp;utm_medium=social&amp;utm_campaign=q4_2026_commerce&amp;utm_content=o08</x:v>
      </x:c>
      <x:c r="M21" s="3" t="str">
        <x:v>Static Pin</x:v>
      </x:c>
      <x:c r="N21" s="3" t="str">
        <x:v>Mobile checkout checklist for eCommerce stores
1. Try the journey on mobile
2. Check delivery-cost clarity
3. Read form error messages</x:v>
      </x:c>
      <x:c r="O21" s="3" t="str">
        <x:v>30-second sandbox recording with four chapter cards. Show sample cart and error message without real customer details or payment credentials. Recompose as one vertical checklist, not a crop of the carousel.</x:v>
      </x:c>
      <x:c r="P21" s="3" t="str">
        <x:v>1000 × 1500 px</x:v>
      </x:c>
      <x:c r="Q21" s="3" t="str">
        <x:v>Four checkout checks before your next promotion. Try the journey on mobile. Check delivery-cost clarity. Read form error messages. Original illustrative graphic by eLan Technology.</x:v>
      </x:c>
      <x:c r="R21" s="3" t="str">
        <x:v>Standard approval No client assets or testimonials. No paid promotion. Test the destination and mobile contact journey.</x:v>
      </x:c>
      <x:c r="S21" s="23" t="str">
        <x:v>☐</x:v>
      </x:c>
      <x:c r="T21" s="23" t="str">
        <x:v>☐</x:v>
      </x:c>
      <x:c r="U21" s="23" t="str">
        <x:v>☐</x:v>
      </x:c>
      <x:c r="V21" s="24"/>
      <x:c r="W21" s="22" t="str"/>
      <x:c r="X21" s="26"/>
      <x:c r="Y21" s="26"/>
      <x:c r="Z21" s="26"/>
      <x:c r="AA21" s="22" t="str"/>
      <x:c r="AB21" s="22" t="str"/>
    </x:row>
    <x:row r="22" ht="260" customHeight="1">
      <x:c r="A22" s="23" t="str">
        <x:v>☐</x:v>
      </x:c>
      <x:c r="B22" s="24" t="n">
        <x:v>46325</x:v>
      </x:c>
      <x:c r="C22" s="25" t="n">
        <x:v>0.8333333333333334</x:v>
      </x:c>
      <x:c r="D22" s="15" t="str">
        <x:v>O09</x:v>
      </x:c>
      <x:c r="E22" s="15" t="str">
        <x:v>Conditional</x:v>
      </x:c>
      <x:c r="F22" s="22" t="str">
        <x:v>Hold</x:v>
      </x:c>
      <x:c r="G22" s="22" t="str"/>
      <x:c r="H22" s="15" t="str">
        <x:v>Digital business card usability checklist</x:v>
      </x:c>
      <x:c r="I22" s="15" t="str">
        <x:v>Digital business card usability checklist. Readable on a phone. Clear contact choices. A practical sharing journey. Digital-card prices are quoted + GST. Save this checklist and visit the linked page to request a preview update.</x:v>
      </x:c>
      <x:c r="J22" s="15" t="str"/>
      <x:c r="K22" s="15" t="str">
        <x:v>Request a preview update</x:v>
      </x:c>
      <x:c r="L22" s="15" t="str">
        <x:v>https://elan-tech.net/contact/?utm_source=pinterest&amp;utm_medium=social&amp;utm_campaign=q4_2026_digital_card&amp;utm_content=o09</x:v>
      </x:c>
      <x:c r="M22" s="15" t="str">
        <x:v>Static Pin</x:v>
      </x:c>
      <x:c r="N22" s="15" t="str">
        <x:v>Digital business card usability checklist
1. Readable on a phone
2. Clear contact choices
3. A practical sharing journey</x:v>
      </x:c>
      <x:c r="O22" s="15" t="str">
        <x:v>Three-panel internal-test checklist using a verified sample screen. Do not fabricate test scores, customer feedback or improvements not completed. Recompose as one vertical checklist, not a crop of the carousel.</x:v>
      </x:c>
      <x:c r="P22" s="15" t="str">
        <x:v>1000 × 1500 px</x:v>
      </x:c>
      <x:c r="Q22" s="15" t="str">
        <x:v>What makes a digital card easy to use?. Readable on a phone. Clear contact choices. A practical sharing journey. Original illustrative graphic by eLan Technology.</x:v>
      </x:c>
      <x:c r="R22" s="15" t="str">
        <x:v>Verify actual test status; do not imply a completed pilot or user results No client assets or testimonials. No paid promotion. Test the destination and mobile contact journey.</x:v>
      </x:c>
      <x:c r="S22" s="23" t="str">
        <x:v>☐</x:v>
      </x:c>
      <x:c r="T22" s="23" t="str">
        <x:v>☐</x:v>
      </x:c>
      <x:c r="U22" s="23" t="str">
        <x:v>☐</x:v>
      </x:c>
      <x:c r="V22" s="24"/>
      <x:c r="W22" s="22" t="str"/>
      <x:c r="X22" s="26"/>
      <x:c r="Y22" s="26"/>
      <x:c r="Z22" s="26"/>
      <x:c r="AA22" s="22" t="str"/>
      <x:c r="AB22"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3" ht="260" customHeight="1">
      <x:c r="A23" s="23" t="str">
        <x:v>☐</x:v>
      </x:c>
      <x:c r="B23" s="24" t="n">
        <x:v>46329</x:v>
      </x:c>
      <x:c r="C23" s="25" t="n">
        <x:v>0.8333333333333334</x:v>
      </x:c>
      <x:c r="D23" s="3" t="str">
        <x:v>N01</x:v>
      </x:c>
      <x:c r="E23" s="3" t="str">
        <x:v>Core</x:v>
      </x:c>
      <x:c r="F23" s="22" t="str">
        <x:v>Draft</x:v>
      </x:c>
      <x:c r="G23" s="22" t="str"/>
      <x:c r="H23" s="3" t="str">
        <x:v>Accessibility audit vs remediation: a business guide</x:v>
      </x:c>
      <x:c r="I23" s="3" t="str">
        <x:v>Accessibility audit vs remediation: a business guide. Audit: identify barriers. Prioritise the agreed findings. Remediate: make the changes. Save this checklist and visit the linked page to request a scoped accessibility assessment.</x:v>
      </x:c>
      <x:c r="J23" s="3" t="str"/>
      <x:c r="K23" s="3" t="str">
        <x:v>Request a scoped accessibility assessment</x:v>
      </x:c>
      <x:c r="L23" s="3" t="str">
        <x:v>https://elan-tech.net/services/ada-compliant-web-design/?utm_source=pinterest&amp;utm_medium=social&amp;utm_campaign=q4_2026_accessibility&amp;utm_content=n01</x:v>
      </x:c>
      <x:c r="M23" s="3" t="str">
        <x:v>Static Pin</x:v>
      </x:c>
      <x:c r="N23" s="3" t="str">
        <x:v>Accessibility audit vs remediation: a business guide
1. Audit: identify barriers
2. Prioritise the agreed findings
3. Remediate: make the changes</x:v>
      </x:c>
      <x:c r="O23" s="3" t="str">
        <x:v>Three-stage flow with an explicit retest loop. Teal accent, plain labels, no shield claiming legal protection. Recompose as one vertical checklist, not a crop of the carousel.</x:v>
      </x:c>
      <x:c r="P23" s="3" t="str">
        <x:v>1000 × 1500 px</x:v>
      </x:c>
      <x:c r="Q23" s="3" t="str">
        <x:v>Accessibility audit and remediation are different. Audit: identify barriers. Prioritise the agreed findings. Remediate: make the changes. Original illustrative graphic by eLan Technology.</x:v>
      </x:c>
      <x:c r="R23" s="3" t="str">
        <x:v>Standard approval No client assets or testimonials. No paid promotion. Test the destination and mobile contact journey.</x:v>
      </x:c>
      <x:c r="S23" s="23" t="str">
        <x:v>☐</x:v>
      </x:c>
      <x:c r="T23" s="23" t="str">
        <x:v>☐</x:v>
      </x:c>
      <x:c r="U23" s="23" t="str">
        <x:v>☐</x:v>
      </x:c>
      <x:c r="V23" s="24"/>
      <x:c r="W23" s="22" t="str"/>
      <x:c r="X23" s="26"/>
      <x:c r="Y23" s="26"/>
      <x:c r="Z23" s="26"/>
      <x:c r="AA23" s="22" t="str"/>
      <x:c r="AB23" s="22" t="str"/>
    </x:row>
    <x:row r="24" ht="260" customHeight="1">
      <x:c r="A24" s="23" t="str">
        <x:v>☐</x:v>
      </x:c>
      <x:c r="B24" s="24" t="n">
        <x:v>46332</x:v>
      </x:c>
      <x:c r="C24" s="25" t="n">
        <x:v>0.8333333333333334</x:v>
      </x:c>
      <x:c r="D24" s="15" t="str">
        <x:v>N02</x:v>
      </x:c>
      <x:c r="E24" s="15" t="str">
        <x:v>Core</x:v>
      </x:c>
      <x:c r="F24" s="22" t="str">
        <x:v>Draft</x:v>
      </x:c>
      <x:c r="G24" s="22" t="str"/>
      <x:c r="H24" s="15" t="str">
        <x:v>Digital business card vs business website</x:v>
      </x:c>
      <x:c r="I24" s="15" t="str">
        <x:v>Digital business card vs business website. Digital card: a concise introduction. Website: deeper information and journeys. Some businesses need both. Digital-card prices are quoted + GST. Save this checklist and visit the linked page to discuss the right option.</x:v>
      </x:c>
      <x:c r="J24" s="15" t="str"/>
      <x:c r="K24" s="15" t="str">
        <x:v>Discuss the right option</x:v>
      </x:c>
      <x:c r="L24" s="15" t="str">
        <x:v>https://elan-tech.net/contact/?utm_source=pinterest&amp;utm_medium=social&amp;utm_campaign=q4_2026_digital_card&amp;utm_content=n02</x:v>
      </x:c>
      <x:c r="M24" s="15" t="str">
        <x:v>Static Pin</x:v>
      </x:c>
      <x:c r="N24" s="15" t="str">
        <x:v>Digital business card vs business website
1. Digital card: a concise introduction
2. Website: deeper information and journeys
3. Some businesses need both</x:v>
      </x:c>
      <x:c r="O24" s="15" t="str">
        <x:v>Split layout of a simple sample profile and an original website wireframe. Equal visual weight, no misleading winner. Illustrative screens labelled. Recompose as one vertical checklist, not a crop of the carousel.</x:v>
      </x:c>
      <x:c r="P24" s="15" t="str">
        <x:v>1000 × 1500 px</x:v>
      </x:c>
      <x:c r="Q24" s="15" t="str">
        <x:v>Digital card or website: which do you need?. Digital card: a concise introduction. Website: deeper information and journeys. Some businesses need both. Original illustrative graphic by eLan Technology.</x:v>
      </x:c>
      <x:c r="R24" s="15" t="str">
        <x:v>Standard approval No client assets or testimonials. No paid promotion. Test the destination and mobile contact journey.</x:v>
      </x:c>
      <x:c r="S24" s="23" t="str">
        <x:v>☐</x:v>
      </x:c>
      <x:c r="T24" s="23" t="str">
        <x:v>☐</x:v>
      </x:c>
      <x:c r="U24" s="23" t="str">
        <x:v>☐</x:v>
      </x:c>
      <x:c r="V24" s="24"/>
      <x:c r="W24" s="22" t="str"/>
      <x:c r="X24" s="26"/>
      <x:c r="Y24" s="26"/>
      <x:c r="Z24" s="26"/>
      <x:c r="AA24" s="22" t="str"/>
      <x:c r="AB24"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5" ht="260" customHeight="1">
      <x:c r="A25" s="23" t="str">
        <x:v>☐</x:v>
      </x:c>
      <x:c r="B25" s="24" t="n">
        <x:v>46336</x:v>
      </x:c>
      <x:c r="C25" s="25" t="n">
        <x:v>0.8333333333333334</x:v>
      </x:c>
      <x:c r="D25" s="3" t="str">
        <x:v>N03</x:v>
      </x:c>
      <x:c r="E25" s="3" t="str">
        <x:v>Conditional</x:v>
      </x:c>
      <x:c r="F25" s="22" t="str">
        <x:v>Hold</x:v>
      </x:c>
      <x:c r="G25" s="22" t="str"/>
      <x:c r="H25" s="3" t="str">
        <x:v>Digital business card subscription from eLan Technology</x:v>
      </x:c>
      <x:c r="I25" s="3" t="str">
        <x:v>Digital business card subscription from eLan Technology. Meet the digital business card. Explore the working demo. Compare plan features and limits. Digital-card prices are quoted + GST. Save this checklist and visit the linked page to view the demo and plans.</x:v>
      </x:c>
      <x:c r="J25" s="3" t="str"/>
      <x:c r="K25" s="3" t="str">
        <x:v>View the demo and plans</x:v>
      </x:c>
      <x:c r="L25" s="3" t="str"/>
      <x:c r="M25" s="3" t="str">
        <x:v>Static Pin</x:v>
      </x:c>
      <x:c r="N25" s="3" t="str">
        <x:v>Digital business card subscription from eLan Technology
1. Meet the digital business card
2. Explore the working demo
3. Compare plan features and limits</x:v>
      </x:c>
      <x:c r="O25" s="3" t="str">
        <x:v>40-second real product demo after launch approval: 0–5s introduction, 5–20s profile and two verified actions, 20–30s plans, 30–40s terms and link. Use final branding only. Recompose as one vertical checklist, not a crop of the carousel.</x:v>
      </x:c>
      <x:c r="P25" s="3" t="str">
        <x:v>1000 × 1500 px</x:v>
      </x:c>
      <x:c r="Q25" s="3" t="str">
        <x:v>Meet our digital business card. Meet the digital business card. Explore the working demo. Compare plan features and limits. Original illustrative graphic by eLan Technology.</x:v>
      </x:c>
      <x:c r="R25" s="3" t="str">
        <x:v>HOLD: provisional launch slot; publish only after explicit launch approval, working billing, terms and support No client assets or testimonials. No paid promotion. Add and test the approved product URL before publishing.</x:v>
      </x:c>
      <x:c r="S25" s="23" t="str">
        <x:v>☐</x:v>
      </x:c>
      <x:c r="T25" s="23" t="str">
        <x:v>☐</x:v>
      </x:c>
      <x:c r="U25" s="23" t="str">
        <x:v>☐</x:v>
      </x:c>
      <x:c r="V25" s="24"/>
      <x:c r="W25" s="22" t="str"/>
      <x:c r="X25" s="26"/>
      <x:c r="Y25" s="26"/>
      <x:c r="Z25" s="26"/>
      <x:c r="AA25" s="22" t="str"/>
      <x:c r="AB25"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6" ht="260" customHeight="1">
      <x:c r="A26" s="23" t="str">
        <x:v>☐</x:v>
      </x:c>
      <x:c r="B26" s="24" t="n">
        <x:v>46339</x:v>
      </x:c>
      <x:c r="C26" s="25" t="n">
        <x:v>0.8333333333333334</x:v>
      </x:c>
      <x:c r="D26" s="15" t="str">
        <x:v>N04</x:v>
      </x:c>
      <x:c r="E26" s="15" t="str">
        <x:v>Conditional</x:v>
      </x:c>
      <x:c r="F26" s="22" t="str">
        <x:v>Hold</x:v>
      </x:c>
      <x:c r="G26" s="22" t="str"/>
      <x:c r="H26" s="15" t="str">
        <x:v>How to set up and share a digital business card</x:v>
      </x:c>
      <x:c r="I26" s="15" t="str">
        <x:v>How to set up and share a digital business card. Choose the appropriate plan. Enter accurate business details. Preview on a phone. Digital-card prices are quoted + GST. Save this checklist and visit the linked page to request the product walkthrough.</x:v>
      </x:c>
      <x:c r="J26" s="15" t="str"/>
      <x:c r="K26" s="15" t="str">
        <x:v>Request the product walkthrough</x:v>
      </x:c>
      <x:c r="L26" s="15" t="str"/>
      <x:c r="M26" s="15" t="str">
        <x:v>Static Pin</x:v>
      </x:c>
      <x:c r="N26" s="15" t="str">
        <x:v>How to set up and share a digital business card
1. Choose the appropriate plan
2. Enter accurate business details
3. Preview on a phone</x:v>
      </x:c>
      <x:c r="O26" s="15" t="str">
        <x:v>Captioned real onboarding recording using a fictional test identity. Match every step to the released product. No promise of completion in a fixed number of minutes. Recompose as one vertical checklist, not a crop of the carousel.</x:v>
      </x:c>
      <x:c r="P26" s="15" t="str">
        <x:v>1000 × 1500 px</x:v>
      </x:c>
      <x:c r="Q26" s="15" t="str">
        <x:v>From signup to your first shared card. Choose the appropriate plan. Enter accurate business details. Preview on a phone. Original illustrative graphic by eLan Technology.</x:v>
      </x:c>
      <x:c r="R26" s="15" t="str">
        <x:v>HOLD unless launched and all shown steps match the released product No client assets or testimonials. No paid promotion. Add and test the approved product URL before publishing.</x:v>
      </x:c>
      <x:c r="S26" s="23" t="str">
        <x:v>☐</x:v>
      </x:c>
      <x:c r="T26" s="23" t="str">
        <x:v>☐</x:v>
      </x:c>
      <x:c r="U26" s="23" t="str">
        <x:v>☐</x:v>
      </x:c>
      <x:c r="V26" s="24"/>
      <x:c r="W26" s="22" t="str"/>
      <x:c r="X26" s="26"/>
      <x:c r="Y26" s="26"/>
      <x:c r="Z26" s="26"/>
      <x:c r="AA26" s="22" t="str"/>
      <x:c r="AB26"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7" ht="260" customHeight="1">
      <x:c r="A27" s="23" t="str">
        <x:v>☐</x:v>
      </x:c>
      <x:c r="B27" s="24" t="n">
        <x:v>46343</x:v>
      </x:c>
      <x:c r="C27" s="25" t="n">
        <x:v>0.8333333333333334</x:v>
      </x:c>
      <x:c r="D27" s="3" t="str">
        <x:v>N05</x:v>
      </x:c>
      <x:c r="E27" s="3" t="str">
        <x:v>Core</x:v>
      </x:c>
      <x:c r="F27" s="22" t="str">
        <x:v>Draft</x:v>
      </x:c>
      <x:c r="G27" s="22" t="str"/>
      <x:c r="H27" s="3" t="str">
        <x:v>What affects Medusa.js eCommerce development cost?</x:v>
      </x:c>
      <x:c r="I27" s="3" t="str">
        <x:v>What affects Medusa.js eCommerce development cost?. Storefront and product catalogue. Order and subscription rules. Payment integrations. Save this checklist and visit the linked page to request a scoped medusa.js quote.</x:v>
      </x:c>
      <x:c r="J27" s="3" t="str"/>
      <x:c r="K27" s="3" t="str">
        <x:v>Request a scoped Medusa.js quote</x:v>
      </x:c>
      <x:c r="L27" s="3" t="str">
        <x:v>https://elan-tech.net/services/ecommerce/medusa-js-development/?utm_source=pinterest&amp;utm_medium=social&amp;utm_campaign=q4_2026_medusa&amp;utm_content=n05</x:v>
      </x:c>
      <x:c r="M27" s="3" t="str">
        <x:v>Static Pin</x:v>
      </x:c>
      <x:c r="N27" s="3" t="str">
        <x:v>What affects Medusa.js eCommerce development cost?
1. Storefront and product catalogue
2. Order and subscription rules
3. Payment integrations</x:v>
      </x:c>
      <x:c r="O27" s="3" t="str">
        <x:v>Five connected scope blocks in indigo. Use equal-sized rectangles rather than an invented price ladder. Close with a short requirements checklist. Recompose as one vertical checklist, not a crop of the carousel.</x:v>
      </x:c>
      <x:c r="P27" s="3" t="str">
        <x:v>1000 × 1500 px</x:v>
      </x:c>
      <x:c r="Q27" s="3" t="str">
        <x:v>What affects custom Medusa.js development cost?. Storefront and product catalogue. Order and subscription rules. Payment integrations. Original illustrative graphic by eLan Technology.</x:v>
      </x:c>
      <x:c r="R27" s="3" t="str">
        <x:v>Standard approval No client assets or testimonials. No paid promotion. Test the destination and mobile contact journey.</x:v>
      </x:c>
      <x:c r="S27" s="23" t="str">
        <x:v>☐</x:v>
      </x:c>
      <x:c r="T27" s="23" t="str">
        <x:v>☐</x:v>
      </x:c>
      <x:c r="U27" s="23" t="str">
        <x:v>☐</x:v>
      </x:c>
      <x:c r="V27" s="24"/>
      <x:c r="W27" s="22" t="str"/>
      <x:c r="X27" s="26"/>
      <x:c r="Y27" s="26"/>
      <x:c r="Z27" s="26"/>
      <x:c r="AA27" s="22" t="str"/>
      <x:c r="AB27" s="22" t="str"/>
    </x:row>
    <x:row r="28" ht="260" customHeight="1">
      <x:c r="A28" s="23" t="str">
        <x:v>☐</x:v>
      </x:c>
      <x:c r="B28" s="24" t="n">
        <x:v>46346</x:v>
      </x:c>
      <x:c r="C28" s="25" t="n">
        <x:v>0.8333333333333334</x:v>
      </x:c>
      <x:c r="D28" s="15" t="str">
        <x:v>N06</x:v>
      </x:c>
      <x:c r="E28" s="15" t="str">
        <x:v>Core</x:v>
      </x:c>
      <x:c r="F28" s="22" t="str">
        <x:v>Draft</x:v>
      </x:c>
      <x:c r="G28" s="22" t="str"/>
      <x:c r="H28" s="15" t="str">
        <x:v>Business networking follow-up checklist</x:v>
      </x:c>
      <x:c r="I28" s="15" t="str">
        <x:v>Business networking follow-up checklist. Refer to the conversation. Share only relevant details. Make the next step clear. Digital-card prices are quoted + GST. Save this checklist and visit the linked page to ask about the digital card.</x:v>
      </x:c>
      <x:c r="J28" s="15" t="str"/>
      <x:c r="K28" s="15" t="str">
        <x:v>Ask about the digital card</x:v>
      </x:c>
      <x:c r="L28" s="15" t="str">
        <x:v>https://elan-tech.net/contact/?utm_source=pinterest&amp;utm_medium=social&amp;utm_campaign=q4_2026_digital_card&amp;utm_content=n06</x:v>
      </x:c>
      <x:c r="M28" s="15" t="str">
        <x:v>Static Pin</x:v>
      </x:c>
      <x:c r="N28" s="15" t="str">
        <x:v>Business networking follow-up checklist
1. Refer to the conversation
2. Share only relevant details
3. Make the next step clear</x:v>
      </x:c>
      <x:c r="O28" s="15" t="str">
        <x:v>Staged two-person meeting and fictional message overlay. No real contacts, client logos or invented message screenshots presented as genuine. End with a labelled sample profile. Recompose as one vertical checklist, not a crop of the carousel.</x:v>
      </x:c>
      <x:c r="P28" s="15" t="str">
        <x:v>1000 × 1500 px</x:v>
      </x:c>
      <x:c r="Q28" s="15" t="str">
        <x:v>After a meeting, send a useful introduction. Refer to the conversation. Share only relevant details. Make the next step clear. Original illustrative graphic by eLan Technology.</x:v>
      </x:c>
      <x:c r="R28" s="15" t="str">
        <x:v>Standard approval No client assets or testimonials. No paid promotion. Test the destination and mobile contact journey.</x:v>
      </x:c>
      <x:c r="S28" s="23" t="str">
        <x:v>☐</x:v>
      </x:c>
      <x:c r="T28" s="23" t="str">
        <x:v>☐</x:v>
      </x:c>
      <x:c r="U28" s="23" t="str">
        <x:v>☐</x:v>
      </x:c>
      <x:c r="V28" s="24"/>
      <x:c r="W28" s="22" t="str"/>
      <x:c r="X28" s="26"/>
      <x:c r="Y28" s="26"/>
      <x:c r="Z28" s="26"/>
      <x:c r="AA28" s="22" t="str"/>
      <x:c r="AB28"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9" ht="260" customHeight="1">
      <x:c r="A29" s="23" t="str">
        <x:v>☐</x:v>
      </x:c>
      <x:c r="B29" s="24" t="n">
        <x:v>46350</x:v>
      </x:c>
      <x:c r="C29" s="25" t="n">
        <x:v>0.8333333333333334</x:v>
      </x:c>
      <x:c r="D29" s="3" t="str">
        <x:v>N07</x:v>
      </x:c>
      <x:c r="E29" s="3" t="str">
        <x:v>Core</x:v>
      </x:c>
      <x:c r="F29" s="22" t="str">
        <x:v>Draft</x:v>
      </x:c>
      <x:c r="G29" s="22" t="str"/>
      <x:c r="H29" s="3" t="str">
        <x:v>Custom business portals for real estate and organisations</x:v>
      </x:c>
      <x:c r="I29" s="3" t="str">
        <x:v>Custom business portals for real estate and organisations. Real Estate Portal. Medical Conference Portal. IMA Society Portal. Save this checklist and visit the linked page to request a portal discussion.</x:v>
      </x:c>
      <x:c r="J29" s="3" t="str"/>
      <x:c r="K29" s="3" t="str">
        <x:v>Request a portal discussion</x:v>
      </x:c>
      <x:c r="L29" s="3" t="str">
        <x:v>https://elan-tech.net/products/?utm_source=pinterest&amp;utm_medium=social&amp;utm_campaign=q4_2026_portals&amp;utm_content=n07</x:v>
      </x:c>
      <x:c r="M29" s="3" t="str">
        <x:v>Static Pin</x:v>
      </x:c>
      <x:c r="N29" s="3" t="str">
        <x:v>Custom business portals for real estate and organisations
1. Real Estate Portal
2. Medical Conference Portal
3. IMA Society Portal</x:v>
      </x:c>
      <x:c r="O29" s="3" t="str">
        <x:v>Four original workflow tiles with one sample admin diagram. Do not use PropertyCab as the product name. Mark Demonstration. No unlimited licence, ownership or SaaS-free promise. Recompose as one vertical checklist, not a crop of the carousel.</x:v>
      </x:c>
      <x:c r="P29" s="3" t="str">
        <x:v>1000 × 1500 px</x:v>
      </x:c>
      <x:c r="Q29" s="3" t="str">
        <x:v>A portal shaped around your organisation. Real Estate Portal. Medical Conference Portal. IMA Society Portal. Original illustrative graphic by eLan Technology.</x:v>
      </x:c>
      <x:c r="R29" s="3" t="str">
        <x:v>Standard approval No client assets or testimonials. No paid promotion. Test the destination and mobile contact journey.</x:v>
      </x:c>
      <x:c r="S29" s="23" t="str">
        <x:v>☐</x:v>
      </x:c>
      <x:c r="T29" s="23" t="str">
        <x:v>☐</x:v>
      </x:c>
      <x:c r="U29" s="23" t="str">
        <x:v>☐</x:v>
      </x:c>
      <x:c r="V29" s="24"/>
      <x:c r="W29" s="22" t="str"/>
      <x:c r="X29" s="26"/>
      <x:c r="Y29" s="26"/>
      <x:c r="Z29" s="26"/>
      <x:c r="AA29" s="22" t="str"/>
      <x:c r="AB29" s="22" t="str"/>
    </x:row>
    <x:row r="30" ht="260" customHeight="1">
      <x:c r="A30" s="23" t="str">
        <x:v>☐</x:v>
      </x:c>
      <x:c r="B30" s="24" t="n">
        <x:v>46353</x:v>
      </x:c>
      <x:c r="C30" s="25" t="n">
        <x:v>0.8333333333333334</x:v>
      </x:c>
      <x:c r="D30" s="15" t="str">
        <x:v>N08</x:v>
      </x:c>
      <x:c r="E30" s="15" t="str">
        <x:v>Core</x:v>
      </x:c>
      <x:c r="F30" s="22" t="str">
        <x:v>Draft</x:v>
      </x:c>
      <x:c r="G30" s="22" t="str"/>
      <x:c r="H30" s="15" t="str">
        <x:v>How to use paper and digital business cards together</x:v>
      </x:c>
      <x:c r="I30" s="15" t="str">
        <x:v>How to use paper and digital business cards together. A printed card starts a conversation. A digital profile adds another route. Test the QR destination. Digital-card prices are quoted + GST. Save this checklist and visit the linked page to ask about digital card options.</x:v>
      </x:c>
      <x:c r="J30" s="15" t="str"/>
      <x:c r="K30" s="15" t="str">
        <x:v>Ask about digital card options</x:v>
      </x:c>
      <x:c r="L30" s="15" t="str">
        <x:v>https://elan-tech.net/contact/?utm_source=pinterest&amp;utm_medium=social&amp;utm_campaign=q4_2026_digital_card&amp;utm_content=n08</x:v>
      </x:c>
      <x:c r="M30" s="15" t="str">
        <x:v>Static Pin</x:v>
      </x:c>
      <x:c r="N30" s="15" t="str">
        <x:v>How to use paper and digital business cards together
1. A printed card starts a conversation
2. A digital profile adds another route
3. Test the QR destination</x:v>
      </x:c>
      <x:c r="O30" s="15" t="str">
        <x:v>Side-by-side original printed card and sample phone profile. QR placeholder must not be published as a working code. Replace with a tested code only after the final domain is ready. Recompose as one vertical checklist, not a crop of the carousel.</x:v>
      </x:c>
      <x:c r="P30" s="15" t="str">
        <x:v>1000 × 1500 px</x:v>
      </x:c>
      <x:c r="Q30" s="15" t="str">
        <x:v>Paper and digital cards can work together. A printed card starts a conversation. A digital profile adds another route. Test the QR destination. Original illustrative graphic by eLan Technology.</x:v>
      </x:c>
      <x:c r="R30" s="15" t="str">
        <x:v>Standard approval No client assets or testimonials. No paid promotion. Test the destination and mobile contact journey.</x:v>
      </x:c>
      <x:c r="S30" s="23" t="str">
        <x:v>☐</x:v>
      </x:c>
      <x:c r="T30" s="23" t="str">
        <x:v>☐</x:v>
      </x:c>
      <x:c r="U30" s="23" t="str">
        <x:v>☐</x:v>
      </x:c>
      <x:c r="V30" s="24"/>
      <x:c r="W30" s="22" t="str"/>
      <x:c r="X30" s="26"/>
      <x:c r="Y30" s="26"/>
      <x:c r="Z30" s="26"/>
      <x:c r="AA30" s="22" t="str"/>
      <x:c r="AB30"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1" ht="260" customHeight="1">
      <x:c r="A31" s="23" t="str">
        <x:v>☐</x:v>
      </x:c>
      <x:c r="B31" s="24" t="n">
        <x:v>46357</x:v>
      </x:c>
      <x:c r="C31" s="25" t="n">
        <x:v>0.8333333333333334</x:v>
      </x:c>
      <x:c r="D31" s="3" t="str">
        <x:v>D01</x:v>
      </x:c>
      <x:c r="E31" s="3" t="str">
        <x:v>Core</x:v>
      </x:c>
      <x:c r="F31" s="22" t="str">
        <x:v>Draft</x:v>
      </x:c>
      <x:c r="G31" s="22" t="str"/>
      <x:c r="H31" s="3" t="str">
        <x:v>Website maintenance and support request checklist</x:v>
      </x:c>
      <x:c r="I31" s="3" t="str">
        <x:v>Website maintenance and support request checklist. Describe the issue clearly. Share steps and a safe screenshot. Agree priority and scope. Save this checklist and visit the linked page to discuss website support.</x:v>
      </x:c>
      <x:c r="J31" s="3" t="str"/>
      <x:c r="K31" s="3" t="str">
        <x:v>Discuss website support</x:v>
      </x:c>
      <x:c r="L31" s="3" t="str">
        <x:v>https://elan-tech.net/contact/?utm_source=pinterest&amp;utm_medium=social&amp;utm_campaign=q4_2026_support&amp;utm_content=d01</x:v>
      </x:c>
      <x:c r="M31" s="3" t="str">
        <x:v>Static Pin</x:v>
      </x:c>
      <x:c r="N31" s="3" t="str">
        <x:v>Website maintenance and support request checklist
1. Describe the issue clearly
2. Share steps and a safe screenshot
3. Agree priority and scope</x:v>
      </x:c>
      <x:c r="O31" s="3" t="str">
        <x:v>Four-panel ticket journey with fictional sample issue, no timestamps implying an SLA. Blue and teal. Avoid customer quotes or a fabricated support rating. Recompose as one vertical checklist, not a crop of the carousel.</x:v>
      </x:c>
      <x:c r="P31" s="3" t="str">
        <x:v>1000 × 1500 px</x:v>
      </x:c>
      <x:c r="Q31" s="3" t="str">
        <x:v>What responsive website support looks like. Describe the issue clearly. Share steps and a safe screenshot. Agree priority and scope. Original illustrative graphic by eLan Technology.</x:v>
      </x:c>
      <x:c r="R31" s="3" t="str">
        <x:v>Standard approval No client assets or testimonials. No paid promotion. Test the destination and mobile contact journey.</x:v>
      </x:c>
      <x:c r="S31" s="23" t="str">
        <x:v>☐</x:v>
      </x:c>
      <x:c r="T31" s="23" t="str">
        <x:v>☐</x:v>
      </x:c>
      <x:c r="U31" s="23" t="str">
        <x:v>☐</x:v>
      </x:c>
      <x:c r="V31" s="24"/>
      <x:c r="W31" s="22" t="str"/>
      <x:c r="X31" s="26"/>
      <x:c r="Y31" s="26"/>
      <x:c r="Z31" s="26"/>
      <x:c r="AA31" s="22" t="str"/>
      <x:c r="AB31" s="22" t="str"/>
    </x:row>
    <x:row r="32" ht="260" customHeight="1">
      <x:c r="A32" s="23" t="str">
        <x:v>☐</x:v>
      </x:c>
      <x:c r="B32" s="24" t="n">
        <x:v>46359</x:v>
      </x:c>
      <x:c r="C32" s="25" t="n">
        <x:v>0.8333333333333334</x:v>
      </x:c>
      <x:c r="D32" s="15" t="str">
        <x:v>D02</x:v>
      </x:c>
      <x:c r="E32" s="15" t="str">
        <x:v>Core</x:v>
      </x:c>
      <x:c r="F32" s="22" t="str">
        <x:v>Draft</x:v>
      </x:c>
      <x:c r="G32" s="22" t="str"/>
      <x:c r="H32" s="15" t="str">
        <x:v>Website accessibility checks for everyday customer tasks</x:v>
      </x:c>
      <x:c r="I32" s="15" t="str">
        <x:v>Website accessibility checks for everyday customer tasks. Readable content. Clear form labels. Keyboard operation. Save this checklist and visit the linked page to discuss an accessibility assessment.</x:v>
      </x:c>
      <x:c r="J32" s="15" t="str"/>
      <x:c r="K32" s="15" t="str">
        <x:v>Discuss an accessibility assessment</x:v>
      </x:c>
      <x:c r="L32" s="15" t="str">
        <x:v>https://elan-tech.net/services/ada-compliant-web-design/?utm_source=pinterest&amp;utm_medium=social&amp;utm_campaign=q4_2026_accessibility&amp;utm_content=d02</x:v>
      </x:c>
      <x:c r="M32" s="15" t="str">
        <x:v>Static Pin</x:v>
      </x:c>
      <x:c r="N32" s="15" t="str">
        <x:v>Website accessibility checks for everyday customer tasks
1. Readable content
2. Clear form labels
3. Keyboard operation</x:v>
      </x:c>
      <x:c r="O32" s="15" t="str">
        <x:v>Inclusive 25-second interface demo, no pity imagery. Show labels, focus and readable contrast using sample data. Add captions and a clear limitation: Starting checks, not certification. Recompose as one vertical checklist, not a crop of the carousel.</x:v>
      </x:c>
      <x:c r="P32" s="15" t="str">
        <x:v>1000 × 1500 px</x:v>
      </x:c>
      <x:c r="Q32" s="15" t="str">
        <x:v>Digital access should work for more people. Readable content. Clear form labels. Keyboard operation. Original illustrative graphic by eLan Technology.</x:v>
      </x:c>
      <x:c r="R32" s="15" t="str">
        <x:v>Standard approval No client assets or testimonials. No paid promotion. Test the destination and mobile contact journey.</x:v>
      </x:c>
      <x:c r="S32" s="23" t="str">
        <x:v>☐</x:v>
      </x:c>
      <x:c r="T32" s="23" t="str">
        <x:v>☐</x:v>
      </x:c>
      <x:c r="U32" s="23" t="str">
        <x:v>☐</x:v>
      </x:c>
      <x:c r="V32" s="24"/>
      <x:c r="W32" s="22" t="str"/>
      <x:c r="X32" s="26"/>
      <x:c r="Y32" s="26"/>
      <x:c r="Z32" s="26"/>
      <x:c r="AA32" s="22" t="str"/>
      <x:c r="AB32" s="22" t="str"/>
    </x:row>
    <x:row r="33" ht="260" customHeight="1">
      <x:c r="A33" s="23" t="str">
        <x:v>☐</x:v>
      </x:c>
      <x:c r="B33" s="24" t="n">
        <x:v>46364</x:v>
      </x:c>
      <x:c r="C33" s="25" t="n">
        <x:v>0.8333333333333334</x:v>
      </x:c>
      <x:c r="D33" s="3" t="str">
        <x:v>D03</x:v>
      </x:c>
      <x:c r="E33" s="3" t="str">
        <x:v>Core</x:v>
      </x:c>
      <x:c r="F33" s="22" t="str">
        <x:v>Draft</x:v>
      </x:c>
      <x:c r="G33" s="22" t="str"/>
      <x:c r="H33" s="3" t="str">
        <x:v>Business contact details checklist for 2027</x:v>
      </x:c>
      <x:c r="I33" s="3" t="str">
        <x:v>Business contact details checklist for 2027. Check the public phone number. Test the email and contact route. Update service information. Digital-card prices are quoted + GST. Save this checklist and visit the linked page to review your business details.</x:v>
      </x:c>
      <x:c r="J33" s="3" t="str"/>
      <x:c r="K33" s="3" t="str">
        <x:v>Review your business details</x:v>
      </x:c>
      <x:c r="L33" s="3" t="str">
        <x:v>https://elan-tech.net/contact/?utm_source=pinterest&amp;utm_medium=social&amp;utm_campaign=q4_2026_digital_card&amp;utm_content=d03</x:v>
      </x:c>
      <x:c r="M33" s="3" t="str">
        <x:v>Static Pin</x:v>
      </x:c>
      <x:c r="N33" s="3" t="str">
        <x:v>Business contact details checklist for 2027
1. Check the public phone number
2. Test the email and contact route
3. Update service information</x:v>
      </x:c>
      <x:c r="O33" s="3" t="str">
        <x:v>Five checklist panels with a fictional profile card. Never show the developer contact number or real personal data. No claim that the subscription product is live unless confirmed. Recompose as one vertical checklist, not a crop of the carousel.</x:v>
      </x:c>
      <x:c r="P33" s="3" t="str">
        <x:v>1000 × 1500 px</x:v>
      </x:c>
      <x:c r="Q33" s="3" t="str">
        <x:v>Are your business details ready for 2027?. Check the public phone number. Test the email and contact route. Update service information. Original illustrative graphic by eLan Technology.</x:v>
      </x:c>
      <x:c r="R33" s="3" t="str">
        <x:v>Standard approval No client assets or testimonials. No paid promotion. Test the destination and mobile contact journey.</x:v>
      </x:c>
      <x:c r="S33" s="23" t="str">
        <x:v>☐</x:v>
      </x:c>
      <x:c r="T33" s="23" t="str">
        <x:v>☐</x:v>
      </x:c>
      <x:c r="U33" s="23" t="str">
        <x:v>☐</x:v>
      </x:c>
      <x:c r="V33" s="24"/>
      <x:c r="W33" s="22" t="str"/>
      <x:c r="X33" s="26"/>
      <x:c r="Y33" s="26"/>
      <x:c r="Z33" s="26"/>
      <x:c r="AA33" s="22" t="str"/>
      <x:c r="AB33"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4" ht="260" customHeight="1">
      <x:c r="A34" s="23" t="str">
        <x:v>☐</x:v>
      </x:c>
      <x:c r="B34" s="24" t="n">
        <x:v>46367</x:v>
      </x:c>
      <x:c r="C34" s="25" t="n">
        <x:v>0.8333333333333334</x:v>
      </x:c>
      <x:c r="D34" s="15" t="str">
        <x:v>D04</x:v>
      </x:c>
      <x:c r="E34" s="15" t="str">
        <x:v>Core</x:v>
      </x:c>
      <x:c r="F34" s="22" t="str">
        <x:v>Draft</x:v>
      </x:c>
      <x:c r="G34" s="22" t="str"/>
      <x:c r="H34" s="15" t="str">
        <x:v>2027 business website planning checklist</x:v>
      </x:c>
      <x:c r="I34" s="15" t="str">
        <x:v>2027 business website planning checklist. Define the main business goal. List content and integrations. Set a realistic budget. Save this checklist and visit the linked page to request a website planning quote.</x:v>
      </x:c>
      <x:c r="J34" s="15" t="str"/>
      <x:c r="K34" s="15" t="str">
        <x:v>Request a website planning quote</x:v>
      </x:c>
      <x:c r="L34" s="15" t="str">
        <x:v>https://elan-tech.net/contact/?utm_source=pinterest&amp;utm_medium=social&amp;utm_campaign=q4_2026_websites&amp;utm_content=d04</x:v>
      </x:c>
      <x:c r="M34" s="15" t="str">
        <x:v>Static Pin</x:v>
      </x:c>
      <x:c r="N34" s="15" t="str">
        <x:v>2027 business website planning checklist
1. Define the main business goal
2. List content and integrations
3. Set a realistic budget</x:v>
      </x:c>
      <x:c r="O34" s="15" t="str">
        <x:v>Six-slide planning workbook aesthetic, cream and blue with orange tabs. Final slide is an empty original brief template, not a real proposal. Recompose as one vertical checklist, not a crop of the carousel.</x:v>
      </x:c>
      <x:c r="P34" s="15" t="str">
        <x:v>1000 × 1500 px</x:v>
      </x:c>
      <x:c r="Q34" s="15" t="str">
        <x:v>Plan your 2027 website before the rush. Define the main business goal. List content and integrations. Set a realistic budget. Original illustrative graphic by eLan Technology.</x:v>
      </x:c>
      <x:c r="R34" s="15" t="str">
        <x:v>Standard approval No client assets or testimonials. No paid promotion. Test the destination and mobile contact journey.</x:v>
      </x:c>
      <x:c r="S34" s="23" t="str">
        <x:v>☐</x:v>
      </x:c>
      <x:c r="T34" s="23" t="str">
        <x:v>☐</x:v>
      </x:c>
      <x:c r="U34" s="23" t="str">
        <x:v>☐</x:v>
      </x:c>
      <x:c r="V34" s="24"/>
      <x:c r="W34" s="22" t="str"/>
      <x:c r="X34" s="26"/>
      <x:c r="Y34" s="26"/>
      <x:c r="Z34" s="26"/>
      <x:c r="AA34" s="22" t="str"/>
      <x:c r="AB34" s="22" t="str"/>
    </x:row>
    <x:row r="35" ht="260" customHeight="1">
      <x:c r="A35" s="23" t="str">
        <x:v>☐</x:v>
      </x:c>
      <x:c r="B35" s="24" t="n">
        <x:v>46371</x:v>
      </x:c>
      <x:c r="C35" s="25" t="n">
        <x:v>0.8333333333333334</x:v>
      </x:c>
      <x:c r="D35" s="3" t="str">
        <x:v>D05</x:v>
      </x:c>
      <x:c r="E35" s="3" t="str">
        <x:v>Core</x:v>
      </x:c>
      <x:c r="F35" s="22" t="str">
        <x:v>Draft</x:v>
      </x:c>
      <x:c r="G35" s="22" t="str"/>
      <x:c r="H35" s="3" t="str">
        <x:v>Custom commerce workflow planning for growing stores</x:v>
      </x:c>
      <x:c r="I35" s="3" t="str">
        <x:v>Custom commerce workflow planning for growing stores. Customer browses and orders. Payment status is confirmed. Recurring rules apply if required. Save this checklist and visit the linked page to discuss your commerce workflow.</x:v>
      </x:c>
      <x:c r="J35" s="3" t="str"/>
      <x:c r="K35" s="3" t="str">
        <x:v>Discuss your commerce workflow</x:v>
      </x:c>
      <x:c r="L35" s="3" t="str">
        <x:v>https://elan-tech.net/services/ecommerce/?utm_source=pinterest&amp;utm_medium=social&amp;utm_campaign=q4_2026_commerce&amp;utm_content=d05</x:v>
      </x:c>
      <x:c r="M35" s="3" t="str">
        <x:v>Static Pin</x:v>
      </x:c>
      <x:c r="N35" s="3" t="str">
        <x:v>Custom commerce workflow planning for growing stores
1. Customer browses and orders
2. Payment status is confirmed
3. Recurring rules apply if required</x:v>
      </x:c>
      <x:c r="O35" s="3" t="str">
        <x:v>30-second animated original diagram, storefront to payments to fulfilment with a support loop. Label Illustrative workflow. No revenue counter, live payments or client screenshots. Recompose as one vertical checklist, not a crop of the carousel.</x:v>
      </x:c>
      <x:c r="P35" s="3" t="str">
        <x:v>1000 × 1500 px</x:v>
      </x:c>
      <x:c r="Q35" s="3" t="str">
        <x:v>A custom commerce workflow, explained simply. Customer browses and orders. Payment status is confirmed. Recurring rules apply if required. Original illustrative graphic by eLan Technology.</x:v>
      </x:c>
      <x:c r="R35" s="3" t="str">
        <x:v>Standard approval No client assets or testimonials. No paid promotion. Test the destination and mobile contact journey.</x:v>
      </x:c>
      <x:c r="S35" s="23" t="str">
        <x:v>☐</x:v>
      </x:c>
      <x:c r="T35" s="23" t="str">
        <x:v>☐</x:v>
      </x:c>
      <x:c r="U35" s="23" t="str">
        <x:v>☐</x:v>
      </x:c>
      <x:c r="V35" s="24"/>
      <x:c r="W35" s="22" t="str"/>
      <x:c r="X35" s="26"/>
      <x:c r="Y35" s="26"/>
      <x:c r="Z35" s="26"/>
      <x:c r="AA35" s="22" t="str"/>
      <x:c r="AB35" s="22" t="str"/>
    </x:row>
    <x:row r="36" ht="260" customHeight="1">
      <x:c r="A36" s="23" t="str">
        <x:v>☐</x:v>
      </x:c>
      <x:c r="B36" s="24" t="n">
        <x:v>46374</x:v>
      </x:c>
      <x:c r="C36" s="25" t="n">
        <x:v>0.8333333333333334</x:v>
      </x:c>
      <x:c r="D36" s="15" t="str">
        <x:v>D06</x:v>
      </x:c>
      <x:c r="E36" s="15" t="str">
        <x:v>Core</x:v>
      </x:c>
      <x:c r="F36" s="22" t="str">
        <x:v>Draft</x:v>
      </x:c>
      <x:c r="G36" s="22" t="str"/>
      <x:c r="H36" s="15" t="str">
        <x:v>Digital business card subscription buying checklist</x:v>
      </x:c>
      <x:c r="I36" s="15" t="str">
        <x:v>Digital business card subscription buying checklist. What features are included?. How often is the plan billed?. What limits apply?. Digital-card prices are quoted + GST. Save this checklist and visit the linked page to request subscription plan details.</x:v>
      </x:c>
      <x:c r="J36" s="15" t="str"/>
      <x:c r="K36" s="15" t="str">
        <x:v>Request subscription plan details</x:v>
      </x:c>
      <x:c r="L36" s="15" t="str">
        <x:v>https://elan-tech.net/contact/?utm_source=pinterest&amp;utm_medium=social&amp;utm_campaign=q4_2026_digital_card&amp;utm_content=d06</x:v>
      </x:c>
      <x:c r="M36" s="15" t="str">
        <x:v>Static Pin</x:v>
      </x:c>
      <x:c r="N36" s="15" t="str">
        <x:v>Digital business card subscription buying checklist
1. What features are included?
2. How often is the plan billed?
3. What limits apply?</x:v>
      </x:c>
      <x:c r="O36" s="15" t="str">
        <x:v>Clean five-panel plan-reading guide. Do not invent a tier, free plan, fee or cancellation promise. Insert actual prices only after approval, always beside + GST. Recompose as one vertical checklist, not a crop of the carousel.</x:v>
      </x:c>
      <x:c r="P36" s="15" t="str">
        <x:v>1000 × 1500 px</x:v>
      </x:c>
      <x:c r="Q36" s="15" t="str">
        <x:v>Read the subscription details before you choose. What features are included?. How often is the plan billed?. What limits apply?. Original illustrative graphic by eLan Technology.</x:v>
      </x:c>
      <x:c r="R36" s="15" t="str">
        <x:v>Approve plan terms before adding prices or purchase link No client assets or testimonials. No paid promotion. Test the destination and mobile contact journey.</x:v>
      </x:c>
      <x:c r="S36" s="23" t="str">
        <x:v>☐</x:v>
      </x:c>
      <x:c r="T36" s="23" t="str">
        <x:v>☐</x:v>
      </x:c>
      <x:c r="U36" s="23" t="str">
        <x:v>☐</x:v>
      </x:c>
      <x:c r="V36" s="24"/>
      <x:c r="W36" s="22" t="str"/>
      <x:c r="X36" s="26"/>
      <x:c r="Y36" s="26"/>
      <x:c r="Z36" s="26"/>
      <x:c r="AA36" s="22" t="str"/>
      <x:c r="AB36"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7" ht="260" customHeight="1">
      <x:c r="A37" s="23" t="str">
        <x:v>☐</x:v>
      </x:c>
      <x:c r="B37" s="24" t="n">
        <x:v>46378</x:v>
      </x:c>
      <x:c r="C37" s="25" t="n">
        <x:v>0.8333333333333334</x:v>
      </x:c>
      <x:c r="D37" s="3" t="str">
        <x:v>D07</x:v>
      </x:c>
      <x:c r="E37" s="3" t="str">
        <x:v>Core</x:v>
      </x:c>
      <x:c r="F37" s="22" t="str">
        <x:v>Draft</x:v>
      </x:c>
      <x:c r="G37" s="22" t="str"/>
      <x:c r="H37" s="3" t="str">
        <x:v>Six practical website usability checks</x:v>
      </x:c>
      <x:c r="I37" s="3" t="str">
        <x:v>Six practical website usability checks. Read the text on a phone. Use the mobile menu. Check product and service details. Save this checklist and visit the linked page to discuss website improvements.</x:v>
      </x:c>
      <x:c r="J37" s="3" t="str"/>
      <x:c r="K37" s="3" t="str">
        <x:v>Discuss website improvements</x:v>
      </x:c>
      <x:c r="L37" s="3" t="str">
        <x:v>https://elan-tech.net/contact/?utm_source=pinterest&amp;utm_medium=social&amp;utm_campaign=q4_2026_websites&amp;utm_content=d07</x:v>
      </x:c>
      <x:c r="M37" s="3" t="str">
        <x:v>Static Pin</x:v>
      </x:c>
      <x:c r="N37" s="3" t="str">
        <x:v>Six practical website usability checks
1. Read the text on a phone
2. Use the mobile menu
3. Check product and service details</x:v>
      </x:c>
      <x:c r="O37" s="3" t="str">
        <x:v>Six short original demo clips or six-slide carousel. One detail per frame, blue base with teal accents. No portfolio montage or client logos. Recompose as one vertical checklist, not a crop of the carousel.</x:v>
      </x:c>
      <x:c r="P37" s="3" t="str">
        <x:v>1000 × 1500 px</x:v>
      </x:c>
      <x:c r="Q37" s="3" t="str">
        <x:v>Small website details worth getting right. Read the text on a phone. Use the mobile menu. Check product and service details. Original illustrative graphic by eLan Technology.</x:v>
      </x:c>
      <x:c r="R37" s="3" t="str">
        <x:v>Standard approval No client assets or testimonials. No paid promotion. Test the destination and mobile contact journey.</x:v>
      </x:c>
      <x:c r="S37" s="23" t="str">
        <x:v>☐</x:v>
      </x:c>
      <x:c r="T37" s="23" t="str">
        <x:v>☐</x:v>
      </x:c>
      <x:c r="U37" s="23" t="str">
        <x:v>☐</x:v>
      </x:c>
      <x:c r="V37" s="24"/>
      <x:c r="W37" s="22" t="str"/>
      <x:c r="X37" s="26"/>
      <x:c r="Y37" s="26"/>
      <x:c r="Z37" s="26"/>
      <x:c r="AA37" s="22" t="str"/>
      <x:c r="AB37" s="22" t="str"/>
    </x:row>
    <x:row r="38" ht="260" customHeight="1">
      <x:c r="A38" s="23" t="str">
        <x:v>☐</x:v>
      </x:c>
      <x:c r="B38" s="24" t="n">
        <x:v>46381</x:v>
      </x:c>
      <x:c r="C38" s="25" t="n">
        <x:v>0.8333333333333334</x:v>
      </x:c>
      <x:c r="D38" s="15" t="str">
        <x:v>D08</x:v>
      </x:c>
      <x:c r="E38" s="15" t="str">
        <x:v>Optional</x:v>
      </x:c>
      <x:c r="F38" s="22" t="str">
        <x:v>Draft</x:v>
      </x:c>
      <x:c r="G38" s="22" t="str"/>
      <x:c r="H38" s="15" t="str">
        <x:v>Christmas wishes from eLan Technology</x:v>
      </x:c>
      <x:c r="I38" s="15" t="str">
        <x:v>Christmas wishes from eLan Technology. Merry Christmas. Warm wishes from eLan Technology. Wishing you a peaceful holiday season. Seasonal wishes from eLan Technology.</x:v>
      </x:c>
      <x:c r="J38" s="15" t="str"/>
      <x:c r="K38" s="15" t="str">
        <x:v>No sales CTA</x:v>
      </x:c>
      <x:c r="L38" s="15" t="str"/>
      <x:c r="M38" s="15" t="str">
        <x:v>Static Pin</x:v>
      </x:c>
      <x:c r="N38" s="15" t="str">
        <x:v>Christmas wishes from eLan Technology
1. Merry Christmas
2. Warm wishes from eLan Technology
3. Wishing you a peaceful holiday season</x:v>
      </x:c>
      <x:c r="O38" s="15" t="str">
        <x:v>Bright cream card, fine blue line illustration of a tree with a small orange star. Minimal five-second animation optional. No price, sale, client assets or CTA. Recompose as one vertical checklist, not a crop of the carousel.</x:v>
      </x:c>
      <x:c r="P38" s="15" t="str">
        <x:v>1000 × 1500 px</x:v>
      </x:c>
      <x:c r="Q38" s="15" t="str">
        <x:v>Wishing you a warm and peaceful Christmas. Merry Christmas. Warm wishes from eLan Technology. Wishing you a peaceful holiday season. Original illustrative graphic by eLan Technology.</x:v>
      </x:c>
      <x:c r="R38" s="15" t="str">
        <x:v>Standard approval No client assets or testimonials. No paid promotion. Test the destination and mobile contact journey.</x:v>
      </x:c>
      <x:c r="S38" s="23" t="str">
        <x:v>☐</x:v>
      </x:c>
      <x:c r="T38" s="23" t="str">
        <x:v>☐</x:v>
      </x:c>
      <x:c r="U38" s="23" t="str">
        <x:v>☐</x:v>
      </x:c>
      <x:c r="V38" s="24"/>
      <x:c r="W38" s="22" t="str"/>
      <x:c r="X38" s="26"/>
      <x:c r="Y38" s="26"/>
      <x:c r="Z38" s="26"/>
      <x:c r="AA38" s="22" t="str"/>
      <x:c r="AB38" s="22" t="str"/>
    </x:row>
    <x:row r="39" ht="260" customHeight="1">
      <x:c r="A39" s="23" t="str">
        <x:v>☐</x:v>
      </x:c>
      <x:c r="B39" s="24" t="n">
        <x:v>46385</x:v>
      </x:c>
      <x:c r="C39" s="25" t="n">
        <x:v>0.8333333333333334</x:v>
      </x:c>
      <x:c r="D39" s="3" t="str">
        <x:v>D09</x:v>
      </x:c>
      <x:c r="E39" s="3" t="str">
        <x:v>Core</x:v>
      </x:c>
      <x:c r="F39" s="22" t="str">
        <x:v>Draft</x:v>
      </x:c>
      <x:c r="G39" s="22" t="str"/>
      <x:c r="H39" s="3" t="str">
        <x:v>Digital planning priorities for small businesses in 2027</x:v>
      </x:c>
      <x:c r="I39" s="3" t="str">
        <x:v>Digital planning priorities for small businesses in 2027. Make introductions easier. Explain services more clearly. Improve the shopping journey. Save this checklist and visit the linked page to tell us your 2027 priority.</x:v>
      </x:c>
      <x:c r="J39" s="3" t="str"/>
      <x:c r="K39" s="3" t="str">
        <x:v>Tell us your 2027 priority</x:v>
      </x:c>
      <x:c r="L39" s="3" t="str">
        <x:v>https://elan-tech.net/contact/?utm_source=pinterest&amp;utm_medium=social&amp;utm_campaign=q4_2026_websites&amp;utm_content=d09</x:v>
      </x:c>
      <x:c r="M39" s="3" t="str">
        <x:v>Static Pin</x:v>
      </x:c>
      <x:c r="N39" s="3" t="str">
        <x:v>Digital planning priorities for small businesses in 2027
1. Make introductions easier
2. Explain services more clearly
3. Improve the shopping journey</x:v>
      </x:c>
      <x:c r="O39" s="3" t="str">
        <x:v>Three distinct rectangular panels: introduction, business website, commerce. Original icons and sample layouts. Keep subscription product and development services separate. Recompose as one vertical checklist, not a crop of the carousel.</x:v>
      </x:c>
      <x:c r="P39" s="3" t="str">
        <x:v>1000 × 1500 px</x:v>
      </x:c>
      <x:c r="Q39" s="3" t="str">
        <x:v>What should work better for your business next year?. Make introductions easier. Explain services more clearly. Improve the shopping journey. Original illustrative graphic by eLan Technology.</x:v>
      </x:c>
      <x:c r="R39" s="3" t="str">
        <x:v>Standard approval No client assets or testimonials. No paid promotion. Test the destination and mobile contact journey.</x:v>
      </x:c>
      <x:c r="S39" s="23" t="str">
        <x:v>☐</x:v>
      </x:c>
      <x:c r="T39" s="23" t="str">
        <x:v>☐</x:v>
      </x:c>
      <x:c r="U39" s="23" t="str">
        <x:v>☐</x:v>
      </x:c>
      <x:c r="V39" s="24"/>
      <x:c r="W39" s="22" t="str"/>
      <x:c r="X39" s="26"/>
      <x:c r="Y39" s="26"/>
      <x:c r="Z39" s="26"/>
      <x:c r="AA39" s="22" t="str"/>
      <x:c r="AB39" s="22" t="str"/>
    </x:row>
    <x:row r="40" ht="260" customHeight="1">
      <x:c r="A40" s="23" t="str">
        <x:v>☐</x:v>
      </x:c>
      <x:c r="B40" s="24" t="n">
        <x:v>46387</x:v>
      </x:c>
      <x:c r="C40" s="25" t="n">
        <x:v>0.8333333333333334</x:v>
      </x:c>
      <x:c r="D40" s="15" t="str">
        <x:v>D10</x:v>
      </x:c>
      <x:c r="E40" s="15" t="str">
        <x:v>Optional</x:v>
      </x:c>
      <x:c r="F40" s="22" t="str">
        <x:v>Draft</x:v>
      </x:c>
      <x:c r="G40" s="22" t="str"/>
      <x:c r="H40" s="15" t="str">
        <x:v>New Year wishes from eLan Technology</x:v>
      </x:c>
      <x:c r="I40" s="15" t="str">
        <x:v>New Year wishes from eLan Technology. Thank you for being part of our year. Here is to thoughtful work and clear communication. Wishing you a happy 2027. Seasonal wishes from eLan Technology.</x:v>
      </x:c>
      <x:c r="J40" s="15" t="str"/>
      <x:c r="K40" s="15" t="str">
        <x:v>No sales CTA</x:v>
      </x:c>
      <x:c r="L40" s="15" t="str"/>
      <x:c r="M40" s="15" t="str">
        <x:v>Static Pin</x:v>
      </x:c>
      <x:c r="N40" s="15" t="str">
        <x:v>New Year wishes from eLan Technology
1. Thank you for being part of our year
2. Here is to thoughtful work and clear communication
3. Wishing you a happy 2027</x:v>
      </x:c>
      <x:c r="O40" s="15" t="str">
        <x:v>20-second genuine founder thank-you, or a clean typographic animation. No client montage, invented annual totals or unapproved team claims. Recompose as one vertical checklist, not a crop of the carousel.</x:v>
      </x:c>
      <x:c r="P40" s="15" t="str">
        <x:v>1000 × 1500 px</x:v>
      </x:c>
      <x:c r="Q40" s="15" t="str">
        <x:v>Thank you for being part of our year. Thank you for being part of our year. Here is to thoughtful work and clear communication. Wishing you a happy 2027. Original illustrative graphic by eLan Technology.</x:v>
      </x:c>
      <x:c r="R40" s="15" t="str">
        <x:v>Standard approval No client assets or testimonials. No paid promotion. Test the destination and mobile contact journey.</x:v>
      </x:c>
      <x:c r="S40" s="23" t="str">
        <x:v>☐</x:v>
      </x:c>
      <x:c r="T40" s="23" t="str">
        <x:v>☐</x:v>
      </x:c>
      <x:c r="U40" s="23" t="str">
        <x:v>☐</x:v>
      </x:c>
      <x:c r="V40" s="24"/>
      <x:c r="W40" s="22" t="str"/>
      <x:c r="X40" s="26"/>
      <x:c r="Y40" s="26"/>
      <x:c r="Z40" s="26"/>
      <x:c r="AA40" s="22" t="str"/>
      <x:c r="AB40" s="22" t="str"/>
    </x:row>
  </x:sheetData>
  <x:conditionalFormatting sqref="A6:A40">
    <x:cfRule type="cellIs" dxfId="8" priority="1" operator="equal">
      <x:formula>"✓"</x:formula>
    </x:cfRule>
  </x:conditionalFormatting>
  <x:conditionalFormatting sqref="S6:U40">
    <x:cfRule type="cellIs" dxfId="9" priority="2" operator="equal">
      <x:formula>"✓"</x:formula>
    </x:cfRule>
  </x:conditionalFormatting>
  <x:dataValidations count="4">
    <x:dataValidation type="list" sqref="A6:A40">
      <x:formula1>"☐,✓,N/A"</x:formula1>
    </x:dataValidation>
    <x:dataValidation type="list" sqref="S6:U40">
      <x:formula1>"☐,✓"</x:formula1>
    </x:dataValidation>
    <x:dataValidation type="list" sqref="F6:F40">
      <x:formula1>"Draft,In production,Ready,Scheduled,Published,Hold,Skipped"</x:formula1>
    </x:dataValidation>
    <x:dataValidation type="list" sqref="E6:E40">
      <x:formula1>"Core,Conditional,Optional"</x:formula1>
    </x:dataValidation>
  </x:dataValidations>
  <x:pageMargins left="0.7" right="0.7" top="0.75" bottom="0.75" header="0.3" footer="0.3"/>
  <x:tableParts count="1">
    <x:tablePart xmlns:r="http://schemas.openxmlformats.org/officeDocument/2006/relationships" r:id="Re91d5f4b9208427d"/>
  </x:tableParts>
</x:worksheet>
</file>

<file path=xl/worksheets/sheet7.xml><?xml version="1.0" encoding="utf-8"?>
<x:worksheet xmlns:x="http://schemas.openxmlformats.org/spreadsheetml/2006/main">
  <x:sheetPr>
    <x:tabColor rgb="FF173C65"/>
  </x:sheetPr>
  <x:sheetViews>
    <x:sheetView showGridLines="0" workbookViewId="0">
      <x:pane xSplit="4" ySplit="5" topLeftCell="E6" activePane="bottomRight" state="frozen"/>
    </x:sheetView>
  </x:sheetViews>
  <x:sheetFormatPr defaultRowHeight="15"/>
  <x:cols>
    <x:col min="1" max="1" width="12" hidden="0" customWidth="1"/>
    <x:col min="2" max="2" width="15" hidden="0" customWidth="1"/>
    <x:col min="3" max="3" width="12" hidden="0" customWidth="1"/>
    <x:col min="4" max="4" width="11" hidden="0" customWidth="1"/>
    <x:col min="5" max="5" width="14" hidden="0" customWidth="1"/>
    <x:col min="6" max="6" width="15" hidden="0" customWidth="1"/>
    <x:col min="7" max="7" width="18" hidden="0" customWidth="1"/>
    <x:col min="8" max="8" width="39" hidden="0" customWidth="1"/>
    <x:col min="9" max="9" width="83" hidden="0" customWidth="1"/>
    <x:col min="10" max="10" width="30" hidden="0" customWidth="1"/>
    <x:col min="11" max="11" width="28" hidden="0" customWidth="1"/>
    <x:col min="12" max="12" width="48" hidden="0" customWidth="1"/>
    <x:col min="13" max="13" width="23" hidden="0" customWidth="1"/>
    <x:col min="14" max="14" width="63" hidden="0" customWidth="1"/>
    <x:col min="15" max="15" width="65" hidden="0" customWidth="1"/>
    <x:col min="16" max="16" width="22" hidden="0" customWidth="1"/>
    <x:col min="17" max="17" width="60" hidden="0" customWidth="1"/>
    <x:col min="18" max="18" width="64" hidden="0" customWidth="1"/>
    <x:col min="19" max="19" width="13" hidden="0" customWidth="1"/>
    <x:col min="20" max="20" width="13" hidden="0" customWidth="1"/>
    <x:col min="21" max="21" width="13" hidden="0" customWidth="1"/>
    <x:col min="22" max="22" width="15" hidden="0" customWidth="1"/>
    <x:col min="23" max="23" width="44" hidden="0" customWidth="1"/>
    <x:col min="24" max="24" width="15" hidden="0" customWidth="1"/>
    <x:col min="25" max="25" width="15" hidden="0" customWidth="1"/>
    <x:col min="26" max="26" width="18" hidden="0" customWidth="1"/>
    <x:col min="27" max="27" width="40" hidden="0" customWidth="1"/>
    <x:col min="28" max="28" width="65" hidden="0" customWidth="1"/>
  </x:cols>
  <x:sheetData>
    <x:row r="1" ht="28" customHeight="1">
      <x:c r="A1" s="5" t="str">
        <x:v>WhatsApp Status calendar</x:v>
      </x:c>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22" customHeight="1">
      <x:c r="A2" s="7" t="str">
        <x:v>11 September–31 December 2026. Tick Published only after it is live. Amber cells are tracking inputs. Scroll right for complete copy and visuals.</x:v>
      </x:c>
      <x:c r="B2" s="3"/>
      <x:c r="C2" s="3"/>
      <x:c r="D2" s="3"/>
      <x:c r="E2" s="3"/>
      <x:c r="F2" s="3"/>
      <x:c r="G2" s="3"/>
      <x:c r="H2" s="3"/>
      <x:c r="I2" s="3"/>
      <x:c r="J2" s="3"/>
      <x:c r="K2" s="3"/>
      <x:c r="L2" s="3"/>
      <x:c r="M2" s="3"/>
      <x:c r="N2" s="3"/>
      <x:c r="O2" s="3"/>
      <x:c r="P2" s="3"/>
      <x:c r="Q2" s="3"/>
      <x:c r="R2" s="3"/>
      <x:c r="S2" s="3"/>
      <x:c r="T2" s="3"/>
      <x:c r="U2" s="3"/>
      <x:c r="V2" s="3"/>
      <x:c r="W2" s="3"/>
      <x:c r="X2" s="3"/>
      <x:c r="Y2" s="3"/>
      <x:c r="Z2" s="3"/>
      <x:c r="AA2" s="3"/>
      <x:c r="AB2" s="3"/>
    </x:row>
    <x:row r="3">
      <x:c r="A3" s="8"/>
      <x:c r="B3" s="8"/>
      <x:c r="C3" s="8"/>
      <x:c r="D3" s="8"/>
      <x:c r="E3" s="8"/>
      <x:c r="F3" s="8"/>
      <x:c r="G3" s="8"/>
      <x:c r="H3" s="8"/>
      <x:c r="I3" s="8"/>
      <x:c r="J3" s="8"/>
      <x:c r="K3" s="8"/>
      <x:c r="L3" s="8"/>
      <x:c r="M3" s="8"/>
      <x:c r="N3" s="8"/>
      <x:c r="O3" s="8"/>
      <x:c r="P3" s="8"/>
      <x:c r="Q3" s="8"/>
      <x:c r="R3" s="8"/>
      <x:c r="S3" s="8"/>
      <x:c r="T3" s="8"/>
      <x:c r="U3" s="8"/>
      <x:c r="V3" s="8"/>
      <x:c r="W3" s="8"/>
      <x:c r="X3" s="8"/>
      <x:c r="Y3" s="8"/>
      <x:c r="Z3" s="8"/>
      <x:c r="AA3" s="8"/>
      <x:c r="AB3" s="8"/>
    </x:row>
    <x:row r="4">
      <x:c r="A4" s="3"/>
      <x:c r="B4" s="3"/>
      <x:c r="C4" s="3"/>
      <x:c r="D4" s="3"/>
      <x:c r="E4" s="3"/>
      <x:c r="F4" s="3"/>
      <x:c r="G4" s="3"/>
      <x:c r="H4" s="3"/>
      <x:c r="I4" s="3"/>
      <x:c r="J4" s="3"/>
      <x:c r="K4" s="3"/>
      <x:c r="L4" s="3"/>
      <x:c r="M4" s="3"/>
      <x:c r="N4" s="3"/>
      <x:c r="O4" s="3"/>
      <x:c r="P4" s="3"/>
      <x:c r="Q4" s="3"/>
      <x:c r="R4" s="3"/>
      <x:c r="S4" s="3"/>
      <x:c r="T4" s="3"/>
      <x:c r="U4" s="3"/>
      <x:c r="V4" s="3"/>
      <x:c r="W4" s="3"/>
      <x:c r="X4" s="3"/>
      <x:c r="Y4" s="3"/>
      <x:c r="Z4" s="3"/>
      <x:c r="AA4" s="3"/>
      <x:c r="AB4" s="3"/>
    </x:row>
    <x:row r="5" ht="36" customHeight="1">
      <x:c r="A5" s="12" t="str">
        <x:v>Published</x:v>
      </x:c>
      <x:c r="B5" s="13" t="str">
        <x:v>Planned date</x:v>
      </x:c>
      <x:c r="C5" s="13" t="str">
        <x:v>Time IST</x:v>
      </x:c>
      <x:c r="D5" s="13" t="str">
        <x:v>Post ID</x:v>
      </x:c>
      <x:c r="E5" s="13" t="str">
        <x:v>Priority</x:v>
      </x:c>
      <x:c r="F5" s="13" t="str">
        <x:v>Workflow</x:v>
      </x:c>
      <x:c r="G5" s="13" t="str">
        <x:v>Owner</x:v>
      </x:c>
      <x:c r="H5" s="13" t="str">
        <x:v>Post heading</x:v>
      </x:c>
      <x:c r="I5" s="13" t="str">
        <x:v>Full caption / Status text</x:v>
      </x:c>
      <x:c r="J5" s="13" t="str">
        <x:v>Hashtags</x:v>
      </x:c>
      <x:c r="K5" s="13" t="str">
        <x:v>Call to action</x:v>
      </x:c>
      <x:c r="L5" s="13" t="str">
        <x:v>Destination URL</x:v>
      </x:c>
      <x:c r="M5" s="13" t="str">
        <x:v>Format</x:v>
      </x:c>
      <x:c r="N5" s="13" t="str">
        <x:v>On-artwork text / slides</x:v>
      </x:c>
      <x:c r="O5" s="13" t="str">
        <x:v>Graphic / video direction</x:v>
      </x:c>
      <x:c r="P5" s="13" t="str">
        <x:v>Canvas size</x:v>
      </x:c>
      <x:c r="Q5" s="13" t="str">
        <x:v>Suggested alt text</x:v>
      </x:c>
      <x:c r="R5" s="13" t="str">
        <x:v>Before publishing</x:v>
      </x:c>
      <x:c r="S5" s="13" t="str">
        <x:v>Copy approved</x:v>
      </x:c>
      <x:c r="T5" s="13" t="str">
        <x:v>Asset ready</x:v>
      </x:c>
      <x:c r="U5" s="13" t="str">
        <x:v>Link tested</x:v>
      </x:c>
      <x:c r="V5" s="13" t="str">
        <x:v>Actual date</x:v>
      </x:c>
      <x:c r="W5" s="13" t="str">
        <x:v>Published URL</x:v>
      </x:c>
      <x:c r="X5" s="13" t="str">
        <x:v>Reach / views</x:v>
      </x:c>
      <x:c r="Y5" s="13" t="str">
        <x:v>Link clicks</x:v>
      </x:c>
      <x:c r="Z5" s="13" t="str">
        <x:v>Qualified enquiries</x:v>
      </x:c>
      <x:c r="AA5" s="13" t="str">
        <x:v>Notes</x:v>
      </x:c>
      <x:c r="AB5" s="14" t="str">
        <x:v>Fallback caption</x:v>
      </x:c>
    </x:row>
    <x:row r="6" ht="260" customHeight="1">
      <x:c r="A6" s="23" t="str">
        <x:v>☐</x:v>
      </x:c>
      <x:c r="B6" s="24" t="n">
        <x:v>46276</x:v>
      </x:c>
      <x:c r="C6" s="25" t="n">
        <x:v>0.4791666666666667</x:v>
      </x:c>
      <x:c r="D6" s="15" t="str">
        <x:v>S01</x:v>
      </x:c>
      <x:c r="E6" s="15" t="str">
        <x:v>Core</x:v>
      </x:c>
      <x:c r="F6" s="22" t="str">
        <x:v>Draft</x:v>
      </x:c>
      <x:c r="G6" s="22" t="str"/>
      <x:c r="H6" s="15" t="str">
        <x:v>A fresh start for your business online</x:v>
      </x:c>
      <x:c r="I6" s="15" t="str">
        <x:v>FRAME 1
A fresh start for your business online
FRAME 2
Digital Launchpad opens 14 September
One plan: ₹32,000 + GST
Bookings: 14–25 September 2026
FRAME 3
Request the offer details. Reply here for details.
₹32,000 + GST
Bookings: 14–25 September 2026</x:v>
      </x:c>
      <x:c r="J6" s="15" t="str"/>
      <x:c r="K6" s="15" t="str">
        <x:v>Reply to Status</x:v>
      </x:c>
      <x:c r="L6" s="15" t="str">
        <x:v>https://elan-tech.net/pricing/digital-launchpad/?utm_source=whatsapp&amp;utm_medium=social&amp;utm_campaign=q4_2026_launchpad&amp;utm_content=s01</x:v>
      </x:c>
      <x:c r="M6" s="15" t="str">
        <x:v>3 Status frames</x:v>
      </x:c>
      <x:c r="N6" s="15" t="str">
        <x:v>FRAME 1
A fresh start for your business online
FRAME 2
Digital Launchpad opens 14 September
One plan: ₹32,000 + GST
Bookings: 14–25 September 2026
FRAME 3
Request the offer details. Reply here for details.
₹32,000 + GST
Bookings: 14–25 September 2026</x:v>
      </x:c>
      <x:c r="O6" s="15" t="str">
        <x:v>Cream background, orange date strip and blue headline. Build an original desktop-and-phone wireframe, clearly labelled Sample layout. No client screens. Keep + GST as prominent as the price. Split into three phone-first frames, each with one idea.</x:v>
      </x:c>
      <x:c r="P6" s="15" t="str">
        <x:v>1080 × 1920 px</x:v>
      </x:c>
      <x:c r="Q6" s="15" t="str">
        <x:v>A fresh start for your business online. Digital Launchpad opens 14 September. One plan: ₹32,000 + GST. Bookings: 14–25 September 2026. Digital Launchpad costs ₹32,000 plus GST, with bookings from 14 to 25 September 2026. Original illustrative graphic by eLan Technology.</x:v>
      </x:c>
      <x:c r="R6" s="15" t="str">
        <x:v>Approve final scope and offer landing page before publication No client assets or testimonials. No paid promotion. Test the destination and mobile contact journey.</x:v>
      </x:c>
      <x:c r="S6" s="23" t="str">
        <x:v>☐</x:v>
      </x:c>
      <x:c r="T6" s="23" t="str">
        <x:v>☐</x:v>
      </x:c>
      <x:c r="U6" s="23" t="str">
        <x:v>☐</x:v>
      </x:c>
      <x:c r="V6" s="24"/>
      <x:c r="W6" s="22" t="str"/>
      <x:c r="X6" s="26"/>
      <x:c r="Y6" s="26"/>
      <x:c r="Z6" s="26"/>
      <x:c r="AA6" s="22" t="str"/>
      <x:c r="AB6" s="22" t="str"/>
    </x:row>
    <x:row r="7" ht="260" customHeight="1">
      <x:c r="A7" s="23" t="str">
        <x:v>☐</x:v>
      </x:c>
      <x:c r="B7" s="24" t="n">
        <x:v>46279</x:v>
      </x:c>
      <x:c r="C7" s="25" t="n">
        <x:v>0.4791666666666667</x:v>
      </x:c>
      <x:c r="D7" s="3" t="str">
        <x:v>S02</x:v>
      </x:c>
      <x:c r="E7" s="3" t="str">
        <x:v>Core</x:v>
      </x:c>
      <x:c r="F7" s="22" t="str">
        <x:v>Draft</x:v>
      </x:c>
      <x:c r="G7" s="22" t="str"/>
      <x:c r="H7" s="3" t="str">
        <x:v>Digital Launchpad is open: ₹32,000 + GST</x:v>
      </x:c>
      <x:c r="I7" s="3" t="str">
        <x:v>FRAME 1
Digital Launchpad is open: ₹32,000 + GST
FRAME 2
Digital Launchpad is now open
₹32,000 + GST
14–25 September 2026
FRAME 3
Request this offer. Reply here for details.
₹32,000 + GST
Bookings: 14–25 September 2026</x:v>
      </x:c>
      <x:c r="J7" s="3" t="str"/>
      <x:c r="K7" s="3" t="str">
        <x:v>Reply to Status</x:v>
      </x:c>
      <x:c r="L7" s="3" t="str">
        <x:v>https://elan-tech.net/pricing/digital-launchpad/?utm_source=whatsapp&amp;utm_medium=social&amp;utm_campaign=q4_2026_launchpad&amp;utm_content=s02</x:v>
      </x:c>
      <x:c r="M7" s="3" t="str">
        <x:v>3 Status frames</x:v>
      </x:c>
      <x:c r="N7" s="3" t="str">
        <x:v>FRAME 1
Digital Launchpad is open: ₹32,000 + GST
FRAME 2
Digital Launchpad is now open
₹32,000 + GST
14–25 September 2026
FRAME 3
Request this offer. Reply here for details.
₹32,000 + GST
Bookings: 14–25 September 2026</x:v>
      </x:c>
      <x:c r="O7" s="3" t="str">
        <x:v>Price-led poster with a clean rectangular sample browser. Large ₹32,000, visible + GST beside it, booking dates below. Avoid a long feature list until inclusions are approved. Split into three phone-first frames, each with one idea.</x:v>
      </x:c>
      <x:c r="P7" s="3" t="str">
        <x:v>1080 × 1920 px</x:v>
      </x:c>
      <x:c r="Q7" s="3" t="str">
        <x:v>Digital Launchpad is open: ₹32,000 + GST. Digital Launchpad is now open. ₹32,000 + GST. 14–25 September 2026. Digital Launchpad costs ₹32,000 plus GST, with bookings from 14 to 25 September 2026. Original illustrative graphic by eLan Technology.</x:v>
      </x:c>
      <x:c r="R7" s="3" t="str">
        <x:v>Approve scope, payment terms and offer page; GBP Offer ends 25 September 2026 No client assets or testimonials. No paid promotion. Test the destination and mobile contact journey.</x:v>
      </x:c>
      <x:c r="S7" s="23" t="str">
        <x:v>☐</x:v>
      </x:c>
      <x:c r="T7" s="23" t="str">
        <x:v>☐</x:v>
      </x:c>
      <x:c r="U7" s="23" t="str">
        <x:v>☐</x:v>
      </x:c>
      <x:c r="V7" s="24"/>
      <x:c r="W7" s="22" t="str"/>
      <x:c r="X7" s="26"/>
      <x:c r="Y7" s="26"/>
      <x:c r="Z7" s="26"/>
      <x:c r="AA7" s="22" t="str"/>
      <x:c r="AB7" s="22" t="str"/>
    </x:row>
    <x:row r="8" ht="260" customHeight="1">
      <x:c r="A8" s="23" t="str">
        <x:v>☐</x:v>
      </x:c>
      <x:c r="B8" s="24" t="n">
        <x:v>46281</x:v>
      </x:c>
      <x:c r="C8" s="25" t="n">
        <x:v>0.4791666666666667</x:v>
      </x:c>
      <x:c r="D8" s="15" t="str">
        <x:v>S03</x:v>
      </x:c>
      <x:c r="E8" s="15" t="str">
        <x:v>Core</x:v>
      </x:c>
      <x:c r="F8" s="22" t="str">
        <x:v>Draft</x:v>
      </x:c>
      <x:c r="G8" s="22" t="str"/>
      <x:c r="H8" s="15" t="str">
        <x:v>Before booking, know what is included</x:v>
      </x:c>
      <x:c r="I8" s="15" t="str">
        <x:v>FRAME 1
Before booking, know what is included
FRAME 2
What does the package cover?
Check pages, content and revisions
Check hosting and ongoing support
FRAME 3
Ask for the package scope. Reply here for details.
₹32,000 + GST
Bookings: 14–25 September 2026</x:v>
      </x:c>
      <x:c r="J8" s="15" t="str"/>
      <x:c r="K8" s="15" t="str">
        <x:v>Reply to Status</x:v>
      </x:c>
      <x:c r="L8" s="15" t="str">
        <x:v>https://elan-tech.net/pricing/digital-launchpad/?utm_source=whatsapp&amp;utm_medium=social&amp;utm_campaign=q4_2026_launchpad&amp;utm_content=s03</x:v>
      </x:c>
      <x:c r="M8" s="15" t="str">
        <x:v>3 Status frames</x:v>
      </x:c>
      <x:c r="N8" s="15" t="str">
        <x:v>FRAME 1
Before booking, know what is included
FRAME 2
What does the package cover?
Check pages, content and revisions
Check hosting and ongoing support
FRAME 3
Ask for the package scope. Reply here for details.
₹32,000 + GST
Bookings: 14–25 September 2026</x:v>
      </x:c>
      <x:c r="O8" s="15" t="str">
        <x:v>Five-slide checklist. Each slide asks one scope question. Use outlined page, pencil, server and document symbols. Do not portray a question as an included feature. Split into three phone-first frames, each with one idea.</x:v>
      </x:c>
      <x:c r="P8" s="15" t="str">
        <x:v>1080 × 1920 px</x:v>
      </x:c>
      <x:c r="Q8" s="15" t="str">
        <x:v>Before booking, know what is included. What does the package cover?. Check pages, content and revisions. Check hosting and ongoing support. Digital Launchpad costs ₹32,000 plus GST, with bookings from 14 to 25 September 2026. Original illustrative graphic by eLan Technology.</x:v>
      </x:c>
      <x:c r="R8" s="15" t="str">
        <x:v>Written scope must be approved; do not insert unconfirmed inclusions No client assets or testimonials. No paid promotion. Test the destination and mobile contact journey.</x:v>
      </x:c>
      <x:c r="S8" s="23" t="str">
        <x:v>☐</x:v>
      </x:c>
      <x:c r="T8" s="23" t="str">
        <x:v>☐</x:v>
      </x:c>
      <x:c r="U8" s="23" t="str">
        <x:v>☐</x:v>
      </x:c>
      <x:c r="V8" s="24"/>
      <x:c r="W8" s="22" t="str"/>
      <x:c r="X8" s="26"/>
      <x:c r="Y8" s="26"/>
      <x:c r="Z8" s="26"/>
      <x:c r="AA8" s="22" t="str"/>
      <x:c r="AB8" s="22" t="str"/>
    </x:row>
    <x:row r="9" ht="260" customHeight="1">
      <x:c r="A9" s="23" t="str">
        <x:v>☐</x:v>
      </x:c>
      <x:c r="B9" s="24" t="n">
        <x:v>46283</x:v>
      </x:c>
      <x:c r="C9" s="25" t="n">
        <x:v>0.4791666666666667</x:v>
      </x:c>
      <x:c r="D9" s="3" t="str">
        <x:v>S04</x:v>
      </x:c>
      <x:c r="E9" s="3" t="str">
        <x:v>Core</x:v>
      </x:c>
      <x:c r="F9" s="22" t="str">
        <x:v>Draft</x:v>
      </x:c>
      <x:c r="G9" s="22" t="str"/>
      <x:c r="H9" s="3" t="str">
        <x:v>Make it easy for visitors to enquire</x:v>
      </x:c>
      <x:c r="I9" s="3" t="str">
        <x:v>FRAME 1
Make it easy for visitors to enquire
FRAME 2
Can visitors understand your service?
Can they find contact options on mobile?
Does the enquiry reach your inbox?
FRAME 3
Request the offer details. Reply here for details.
₹32,000 + GST
Bookings: 14–25 September 2026</x:v>
      </x:c>
      <x:c r="J9" s="3" t="str"/>
      <x:c r="K9" s="3" t="str">
        <x:v>Reply to Status</x:v>
      </x:c>
      <x:c r="L9" s="3" t="str">
        <x:v>https://elan-tech.net/pricing/digital-launchpad/?utm_source=whatsapp&amp;utm_medium=social&amp;utm_campaign=q4_2026_launchpad&amp;utm_content=s04</x:v>
      </x:c>
      <x:c r="M9" s="3" t="str">
        <x:v>3 Status frames</x:v>
      </x:c>
      <x:c r="N9" s="3" t="str">
        <x:v>FRAME 1
Make it easy for visitors to enquire
FRAME 2
Can visitors understand your service?
Can they find contact options on mobile?
Does the enquiry reach your inbox?
FRAME 3
Request the offer details. Reply here for details.
₹32,000 + GST
Bookings: 14–25 September 2026</x:v>
      </x:c>
      <x:c r="O9" s="3" t="str">
        <x:v>25-second screen recording of an original sample site. Show service, contact route and a sandbox form confirmation. Persistent Demonstration label. Never show a real lead or inbox. Split into three phone-first frames, each with one idea.</x:v>
      </x:c>
      <x:c r="P9" s="3" t="str">
        <x:v>1080 × 1920 px</x:v>
      </x:c>
      <x:c r="Q9" s="3" t="str">
        <x:v>Make it easy for visitors to enquire. Can visitors understand your service?. Can they find contact options on mobile?. Does the enquiry reach your inbox?. Digital Launchpad costs ₹32,000 plus GST, with bookings from 14 to 25 September 2026. Original illustrative graphic by eLan Technology.</x:v>
      </x:c>
      <x:c r="R9" s="3" t="str">
        <x:v>Test the demo; approve offer scope; no claim of guaranteed enquiries No client assets or testimonials. No paid promotion. Test the destination and mobile contact journey.</x:v>
      </x:c>
      <x:c r="S9" s="23" t="str">
        <x:v>☐</x:v>
      </x:c>
      <x:c r="T9" s="23" t="str">
        <x:v>☐</x:v>
      </x:c>
      <x:c r="U9" s="23" t="str">
        <x:v>☐</x:v>
      </x:c>
      <x:c r="V9" s="24"/>
      <x:c r="W9" s="22" t="str"/>
      <x:c r="X9" s="26"/>
      <x:c r="Y9" s="26"/>
      <x:c r="Z9" s="26"/>
      <x:c r="AA9" s="22" t="str"/>
      <x:c r="AB9" s="22" t="str"/>
    </x:row>
    <x:row r="10" ht="260" customHeight="1">
      <x:c r="A10" s="23" t="str">
        <x:v>☐</x:v>
      </x:c>
      <x:c r="B10" s="24" t="n">
        <x:v>46286</x:v>
      </x:c>
      <x:c r="C10" s="25" t="n">
        <x:v>0.4791666666666667</x:v>
      </x:c>
      <x:c r="D10" s="15" t="str">
        <x:v>S05</x:v>
      </x:c>
      <x:c r="E10" s="15" t="str">
        <x:v>Core</x:v>
      </x:c>
      <x:c r="F10" s="22" t="str">
        <x:v>Draft</x:v>
      </x:c>
      <x:c r="G10" s="22" t="str"/>
      <x:c r="H10" s="15" t="str">
        <x:v>Five questions before you book a website</x:v>
      </x:c>
      <x:c r="I10" s="15" t="str">
        <x:v>FRAME 1
Five questions before you book a website
FRAME 2
Who provides the content?
How many revisions are agreed?
Which costs renew?
FRAME 3
Discuss your website requirements. Reply here for details.
₹32,000 + GST
Bookings: 14–25 September 2026</x:v>
      </x:c>
      <x:c r="J10" s="15" t="str"/>
      <x:c r="K10" s="15" t="str">
        <x:v>Reply to Status</x:v>
      </x:c>
      <x:c r="L10" s="15" t="str">
        <x:v>https://elan-tech.net/pricing/digital-launchpad/?utm_source=whatsapp&amp;utm_medium=social&amp;utm_campaign=q4_2026_launchpad&amp;utm_content=s05</x:v>
      </x:c>
      <x:c r="M10" s="15" t="str">
        <x:v>3 Status frames</x:v>
      </x:c>
      <x:c r="N10" s="15" t="str">
        <x:v>FRAME 1
Five questions before you book a website
FRAME 2
Who provides the content?
How many revisions are agreed?
Which costs renew?
FRAME 3
Discuss your website requirements. Reply here for details.
₹32,000 + GST
Bookings: 14–25 September 2026</x:v>
      </x:c>
      <x:c r="O10" s="15" t="str">
        <x:v>Five numbered rectangular question cards, with a sixth closing panel. Blue type on white, restrained orange number blocks. Put the offer only on the closing slide. Split into three phone-first frames, each with one idea.</x:v>
      </x:c>
      <x:c r="P10" s="15" t="str">
        <x:v>1080 × 1920 px</x:v>
      </x:c>
      <x:c r="Q10" s="15" t="str">
        <x:v>Five questions before you book a website. Who provides the content?. How many revisions are agreed?. Which costs renew?. Digital Launchpad costs ₹32,000 plus GST, with bookings from 14 to 25 September 2026. Original illustrative graphic by eLan Technology.</x:v>
      </x:c>
      <x:c r="R10" s="15" t="str">
        <x:v>Confirm contractual wording and offer scope No client assets or testimonials. No paid promotion. Test the destination and mobile contact journey.</x:v>
      </x:c>
      <x:c r="S10" s="23" t="str">
        <x:v>☐</x:v>
      </x:c>
      <x:c r="T10" s="23" t="str">
        <x:v>☐</x:v>
      </x:c>
      <x:c r="U10" s="23" t="str">
        <x:v>☐</x:v>
      </x:c>
      <x:c r="V10" s="24"/>
      <x:c r="W10" s="22" t="str"/>
      <x:c r="X10" s="26"/>
      <x:c r="Y10" s="26"/>
      <x:c r="Z10" s="26"/>
      <x:c r="AA10" s="22" t="str"/>
      <x:c r="AB10" s="22" t="str"/>
    </x:row>
    <x:row r="11" ht="260" customHeight="1">
      <x:c r="A11" s="23" t="str">
        <x:v>☐</x:v>
      </x:c>
      <x:c r="B11" s="24" t="n">
        <x:v>46288</x:v>
      </x:c>
      <x:c r="C11" s="25" t="n">
        <x:v>0.4791666666666667</x:v>
      </x:c>
      <x:c r="D11" s="3" t="str">
        <x:v>S06</x:v>
      </x:c>
      <x:c r="E11" s="3" t="str">
        <x:v>Core</x:v>
      </x:c>
      <x:c r="F11" s="22" t="str">
        <x:v>Draft</x:v>
      </x:c>
      <x:c r="G11" s="22" t="str"/>
      <x:c r="H11" s="3" t="str">
        <x:v>Your Launchpad questions, answered</x:v>
      </x:c>
      <x:c r="I11" s="3" t="str">
        <x:v>FRAME 1
Your Launchpad questions, answered
FRAME 2
What should the website help people do?
What content is ready?
What support will you need?
FRAME 3
Ask about the offer. Reply here for details.
₹32,000 + GST
Bookings: 14–25 September 2026</x:v>
      </x:c>
      <x:c r="J11" s="3" t="str"/>
      <x:c r="K11" s="3" t="str">
        <x:v>Reply to Status</x:v>
      </x:c>
      <x:c r="L11" s="3" t="str">
        <x:v>https://elan-tech.net/pricing/digital-launchpad/?utm_source=whatsapp&amp;utm_medium=social&amp;utm_campaign=q4_2026_launchpad&amp;utm_content=s06</x:v>
      </x:c>
      <x:c r="M11" s="3" t="str">
        <x:v>3 Status frames</x:v>
      </x:c>
      <x:c r="N11" s="3" t="str">
        <x:v>FRAME 1
Your Launchpad questions, answered
FRAME 2
What should the website help people do?
What content is ready?
What support will you need?
FRAME 3
Ask about the offer. Reply here for details.
₹32,000 + GST
Bookings: 14–25 September 2026</x:v>
      </x:c>
      <x:c r="O11" s="3" t="str">
        <x:v>Founder video, 25–35 seconds, bright uncluttered setting. Add three question captions and a final date/price card. Say Common questions, not You asked, unless questions were received. Split into three phone-first frames, each with one idea.</x:v>
      </x:c>
      <x:c r="P11" s="3" t="str">
        <x:v>1080 × 1920 px</x:v>
      </x:c>
      <x:c r="Q11" s="3" t="str">
        <x:v>Your Launchpad questions, answered. What should the website help people do?. What content is ready?. What support will you need?. Digital Launchpad costs ₹32,000 plus GST, with bookings from 14 to 25 September 2026. Original illustrative graphic by eLan Technology.</x:v>
      </x:c>
      <x:c r="R11" s="3" t="str">
        <x:v>Approve answers against actual package terms No client assets or testimonials. No paid promotion. Test the destination and mobile contact journey.</x:v>
      </x:c>
      <x:c r="S11" s="23" t="str">
        <x:v>☐</x:v>
      </x:c>
      <x:c r="T11" s="23" t="str">
        <x:v>☐</x:v>
      </x:c>
      <x:c r="U11" s="23" t="str">
        <x:v>☐</x:v>
      </x:c>
      <x:c r="V11" s="24"/>
      <x:c r="W11" s="22" t="str"/>
      <x:c r="X11" s="26"/>
      <x:c r="Y11" s="26"/>
      <x:c r="Z11" s="26"/>
      <x:c r="AA11" s="22" t="str"/>
      <x:c r="AB11" s="22" t="str"/>
    </x:row>
    <x:row r="12" ht="260" customHeight="1">
      <x:c r="A12" s="23" t="str">
        <x:v>☐</x:v>
      </x:c>
      <x:c r="B12" s="24" t="n">
        <x:v>46290</x:v>
      </x:c>
      <x:c r="C12" s="25" t="n">
        <x:v>0.4791666666666667</x:v>
      </x:c>
      <x:c r="D12" s="15" t="str">
        <x:v>S07</x:v>
      </x:c>
      <x:c r="E12" s="15" t="str">
        <x:v>Core</x:v>
      </x:c>
      <x:c r="F12" s="22" t="str">
        <x:v>Draft</x:v>
      </x:c>
      <x:c r="G12" s="22" t="str"/>
      <x:c r="H12" s="15" t="str">
        <x:v>Last day for Digital Launchpad bookings</x:v>
      </x:c>
      <x:c r="I12" s="15" t="str">
        <x:v>FRAME 1
Last day for Digital Launchpad bookings
FRAME 2
Bookings close today
25 September 2026
₹32,000 + GST
FRAME 3
Request the offer details today. Reply here for details.
₹32,000 + GST
Bookings: 14–25 September 2026</x:v>
      </x:c>
      <x:c r="J12" s="15" t="str"/>
      <x:c r="K12" s="15" t="str">
        <x:v>Reply to Status</x:v>
      </x:c>
      <x:c r="L12" s="15" t="str">
        <x:v>https://elan-tech.net/pricing/digital-launchpad/?utm_source=whatsapp&amp;utm_medium=social&amp;utm_campaign=q4_2026_launchpad&amp;utm_content=s07</x:v>
      </x:c>
      <x:c r="M12" s="15" t="str">
        <x:v>3 Status frames</x:v>
      </x:c>
      <x:c r="N12" s="15" t="str">
        <x:v>FRAME 1
Last day for Digital Launchpad bookings
FRAME 2
Bookings close today
25 September 2026
₹32,000 + GST
FRAME 3
Request the offer details today. Reply here for details.
₹32,000 + GST
Bookings: 14–25 September 2026</x:v>
      </x:c>
      <x:c r="O12" s="15" t="str">
        <x:v>One bold closing-date graphic. White, blue and orange. No countdown counter, remaining-slot claim or invented cutoff time. Create an expired version for the landing page after closure. Split into three phone-first frames, each with one idea.</x:v>
      </x:c>
      <x:c r="P12" s="15" t="str">
        <x:v>1080 × 1920 px</x:v>
      </x:c>
      <x:c r="Q12" s="15" t="str">
        <x:v>Last day for Digital Launchpad bookings. Bookings close today. 25 September 2026. ₹32,000 + GST. Digital Launchpad costs ₹32,000 plus GST, with bookings from 14 to 25 September 2026. Original illustrative graphic by eLan Technology.</x:v>
      </x:c>
      <x:c r="R12" s="15" t="str">
        <x:v>Confirm closing time and booking conditions; remove active promotion after expiry No client assets or testimonials. No paid promotion. Test the destination and mobile contact journey.</x:v>
      </x:c>
      <x:c r="S12" s="23" t="str">
        <x:v>☐</x:v>
      </x:c>
      <x:c r="T12" s="23" t="str">
        <x:v>☐</x:v>
      </x:c>
      <x:c r="U12" s="23" t="str">
        <x:v>☐</x:v>
      </x:c>
      <x:c r="V12" s="24"/>
      <x:c r="W12" s="22" t="str"/>
      <x:c r="X12" s="26"/>
      <x:c r="Y12" s="26"/>
      <x:c r="Z12" s="26"/>
      <x:c r="AA12" s="22" t="str"/>
      <x:c r="AB12" s="22" t="str"/>
    </x:row>
    <x:row r="13" ht="260" customHeight="1">
      <x:c r="A13" s="23" t="str">
        <x:v>☐</x:v>
      </x:c>
      <x:c r="B13" s="24" t="n">
        <x:v>46294</x:v>
      </x:c>
      <x:c r="C13" s="25" t="n">
        <x:v>0.4791666666666667</x:v>
      </x:c>
      <x:c r="D13" s="3" t="str">
        <x:v>S08</x:v>
      </x:c>
      <x:c r="E13" s="3" t="str">
        <x:v>Core</x:v>
      </x:c>
      <x:c r="F13" s="22" t="str">
        <x:v>Draft</x:v>
      </x:c>
      <x:c r="G13" s="22" t="str"/>
      <x:c r="H13" s="3" t="str">
        <x:v>A Shopify store should feel like your business</x:v>
      </x:c>
      <x:c r="I13" s="3" t="str">
        <x:v>FRAME 1
A Shopify store should feel like your business
FRAME 2
Start with the shopping journey
Organise products clearly
Answer questions on product pages
FRAME 3
Request a Shopify quote. Reply here for details.</x:v>
      </x:c>
      <x:c r="J13" s="3" t="str"/>
      <x:c r="K13" s="3" t="str">
        <x:v>Reply to Status</x:v>
      </x:c>
      <x:c r="L13" s="3" t="str">
        <x:v>https://elan-tech.net/services/ecommerce/shopify-development/?utm_source=whatsapp&amp;utm_medium=social&amp;utm_campaign=q4_2026_shopify&amp;utm_content=s08</x:v>
      </x:c>
      <x:c r="M13" s="3" t="str">
        <x:v>3 Status frames</x:v>
      </x:c>
      <x:c r="N13" s="3" t="str">
        <x:v>FRAME 1
A Shopify store should feel like your business
FRAME 2
Start with the shopping journey
Organise products clearly
Answer questions on product pages
FRAME 3
Request a Shopify quote. Reply here for details.</x:v>
      </x:c>
      <x:c r="O13" s="3" t="str">
        <x:v>Five-slide original shop wireframe using neutral sample products. Green accent, cream background. Zoom into collection, product details and mobile menu. Label all screens Demonstration. Split into three phone-first frames, each with one idea.</x:v>
      </x:c>
      <x:c r="P13" s="3" t="str">
        <x:v>1080 × 1920 px</x:v>
      </x:c>
      <x:c r="Q13" s="3" t="str">
        <x:v>A Shopify store should feel like your business. Start with the shopping journey. Organise products clearly. Answer questions on product pages. Original illustrative graphic by eLan Technology.</x:v>
      </x:c>
      <x:c r="R13" s="3" t="str">
        <x:v>Standard approval No client assets or testimonials. No paid promotion. Test the destination and mobile contact journey.</x:v>
      </x:c>
      <x:c r="S13" s="23" t="str">
        <x:v>☐</x:v>
      </x:c>
      <x:c r="T13" s="23" t="str">
        <x:v>☐</x:v>
      </x:c>
      <x:c r="U13" s="23" t="str">
        <x:v>☐</x:v>
      </x:c>
      <x:c r="V13" s="24"/>
      <x:c r="W13" s="22" t="str"/>
      <x:c r="X13" s="26"/>
      <x:c r="Y13" s="26"/>
      <x:c r="Z13" s="26"/>
      <x:c r="AA13" s="22" t="str"/>
      <x:c r="AB13" s="22" t="str"/>
    </x:row>
    <x:row r="14" ht="260" customHeight="1">
      <x:c r="A14" s="23" t="str">
        <x:v>☐</x:v>
      </x:c>
      <x:c r="B14" s="24" t="n">
        <x:v>46297</x:v>
      </x:c>
      <x:c r="C14" s="25" t="n">
        <x:v>0.4791666666666667</x:v>
      </x:c>
      <x:c r="D14" s="15" t="str">
        <x:v>O01</x:v>
      </x:c>
      <x:c r="E14" s="15" t="str">
        <x:v>Conditional</x:v>
      </x:c>
      <x:c r="F14" s="22" t="str">
        <x:v>Hold</x:v>
      </x:c>
      <x:c r="G14" s="22" t="str"/>
      <x:c r="H14" s="15" t="str">
        <x:v>One link for your business details</x:v>
      </x:c>
      <x:c r="I14" s="15" t="str">
        <x:v>FRAME 1
One link for your business details
FRAME 2
A digital business card is in preparation
Preview only
Final features and plans will follow
FRAME 3
Express interest in the digital card. Reply here for details.
Subscription pricing + GST</x:v>
      </x:c>
      <x:c r="J14" s="15" t="str"/>
      <x:c r="K14" s="15" t="str">
        <x:v>Reply to Status</x:v>
      </x:c>
      <x:c r="L14" s="15" t="str">
        <x:v>https://elan-tech.net/contact/?utm_source=whatsapp&amp;utm_medium=social&amp;utm_campaign=q4_2026_digital_card&amp;utm_content=o01</x:v>
      </x:c>
      <x:c r="M14" s="15" t="str">
        <x:v>3 Status frames</x:v>
      </x:c>
      <x:c r="N14" s="15" t="str">
        <x:v>FRAME 1
One link for your business details
FRAME 2
A digital business card is in preparation
Preview only
Final features and plans will follow
FRAME 3
Express interest in the digital card. Reply here for details.
Subscription pricing + GST</x:v>
      </x:c>
      <x:c r="O14" s="15" t="str">
        <x:v>15-second actual preview recording with fictional sample data. Show only a tested profile and working sharing action. Preview label throughout. Do not publish an unverified domain. Split into three phone-first frames, each with one idea.</x:v>
      </x:c>
      <x:c r="P14" s="15" t="str">
        <x:v>1080 × 1920 px</x:v>
      </x:c>
      <x:c r="Q14" s="15" t="str">
        <x:v>One link for your business details. A digital business card is in preparation. Preview only. Final features and plans will follow. Original illustrative graphic by eLan Technology.</x:v>
      </x:c>
      <x:c r="R14" s="15" t="str">
        <x:v>Confirm working preview and approved brand/domain; not a public launch No client assets or testimonials. No paid promotion. Test the destination and mobile contact journey.</x:v>
      </x:c>
      <x:c r="S14" s="23" t="str">
        <x:v>☐</x:v>
      </x:c>
      <x:c r="T14" s="23" t="str">
        <x:v>☐</x:v>
      </x:c>
      <x:c r="U14" s="23" t="str">
        <x:v>☐</x:v>
      </x:c>
      <x:c r="V14" s="24"/>
      <x:c r="W14" s="22" t="str"/>
      <x:c r="X14" s="26"/>
      <x:c r="Y14" s="26"/>
      <x:c r="Z14" s="26"/>
      <x:c r="AA14" s="22" t="str"/>
      <x:c r="AB14"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15" ht="260" customHeight="1">
      <x:c r="A15" s="23" t="str">
        <x:v>☐</x:v>
      </x:c>
      <x:c r="B15" s="24" t="n">
        <x:v>46301</x:v>
      </x:c>
      <x:c r="C15" s="25" t="n">
        <x:v>0.4791666666666667</x:v>
      </x:c>
      <x:c r="D15" s="3" t="str">
        <x:v>O02</x:v>
      </x:c>
      <x:c r="E15" s="3" t="str">
        <x:v>Core</x:v>
      </x:c>
      <x:c r="F15" s="22" t="str">
        <x:v>Draft</x:v>
      </x:c>
      <x:c r="G15" s="22" t="str"/>
      <x:c r="H15" s="3" t="str">
        <x:v>Connect the store to the work behind it</x:v>
      </x:c>
      <x:c r="I15" s="3" t="str">
        <x:v>FRAME 1
Connect the store to the work behind it
FRAME 2
Customer places an order
Payment status is checked
Subscription rules apply where needed
FRAME 3
Discuss custom commerce. Reply here for details.</x:v>
      </x:c>
      <x:c r="J15" s="3" t="str"/>
      <x:c r="K15" s="3" t="str">
        <x:v>Reply to Status</x:v>
      </x:c>
      <x:c r="L15" s="3" t="str">
        <x:v>https://elan-tech.net/services/ecommerce/?utm_source=whatsapp&amp;utm_medium=social&amp;utm_campaign=q4_2026_commerce&amp;utm_content=o02</x:v>
      </x:c>
      <x:c r="M15" s="3" t="str">
        <x:v>3 Status frames</x:v>
      </x:c>
      <x:c r="N15" s="3" t="str">
        <x:v>FRAME 1
Connect the store to the work behind it
FRAME 2
Customer places an order
Payment status is checked
Subscription rules apply where needed
FRAME 3
Discuss custom commerce. Reply here for details.</x:v>
      </x:c>
      <x:c r="O15" s="3" t="str">
        <x:v>Four-part original flow diagram with labelled arrows and one exception branch for payment failure. Indigo and teal accents. No client screens, order values or provider endorsement. Split into three phone-first frames, each with one idea.</x:v>
      </x:c>
      <x:c r="P15" s="3" t="str">
        <x:v>1080 × 1920 px</x:v>
      </x:c>
      <x:c r="Q15" s="3" t="str">
        <x:v>Connect the store to the work behind it. Customer places an order. Payment status is checked. Subscription rules apply where needed. Original illustrative graphic by eLan Technology.</x:v>
      </x:c>
      <x:c r="R15" s="3" t="str">
        <x:v>Standard approval No client assets or testimonials. No paid promotion. Test the destination and mobile contact journey.</x:v>
      </x:c>
      <x:c r="S15" s="23" t="str">
        <x:v>☐</x:v>
      </x:c>
      <x:c r="T15" s="23" t="str">
        <x:v>☐</x:v>
      </x:c>
      <x:c r="U15" s="23" t="str">
        <x:v>☐</x:v>
      </x:c>
      <x:c r="V15" s="24"/>
      <x:c r="W15" s="22" t="str"/>
      <x:c r="X15" s="26"/>
      <x:c r="Y15" s="26"/>
      <x:c r="Z15" s="26"/>
      <x:c r="AA15" s="22" t="str"/>
      <x:c r="AB15" s="22" t="str"/>
    </x:row>
    <x:row r="16" ht="260" customHeight="1">
      <x:c r="A16" s="23" t="str">
        <x:v>☐</x:v>
      </x:c>
      <x:c r="B16" s="24" t="n">
        <x:v>46304</x:v>
      </x:c>
      <x:c r="C16" s="25" t="n">
        <x:v>0.4791666666666667</x:v>
      </x:c>
      <x:c r="D16" s="15" t="str">
        <x:v>O03</x:v>
      </x:c>
      <x:c r="E16" s="15" t="str">
        <x:v>Core</x:v>
      </x:c>
      <x:c r="F16" s="22" t="str">
        <x:v>Draft</x:v>
      </x:c>
      <x:c r="G16" s="22" t="str"/>
      <x:c r="H16" s="15" t="str">
        <x:v>Can your website be used without a mouse?</x:v>
      </x:c>
      <x:c r="I16" s="15" t="str">
        <x:v>FRAME 1
Can your website be used without a mouse?
FRAME 2
Put the mouse aside
Use Tab to move through the page
Look for visible focus
FRAME 3
Request an accessibility assessment. Reply here for details.</x:v>
      </x:c>
      <x:c r="J16" s="15" t="str"/>
      <x:c r="K16" s="15" t="str">
        <x:v>Reply to Status</x:v>
      </x:c>
      <x:c r="L16" s="15" t="str">
        <x:v>https://elan-tech.net/services/ada-compliant-web-design/?utm_source=whatsapp&amp;utm_medium=social&amp;utm_campaign=q4_2026_accessibility&amp;utm_content=o03</x:v>
      </x:c>
      <x:c r="M16" s="15" t="str">
        <x:v>3 Status frames</x:v>
      </x:c>
      <x:c r="N16" s="15" t="str">
        <x:v>FRAME 1
Can your website be used without a mouse?
FRAME 2
Put the mouse aside
Use Tab to move through the page
Look for visible focus
FRAME 3
Request an accessibility assessment. Reply here for details.</x:v>
      </x:c>
      <x:c r="O16" s="15" t="str">
        <x:v>25-second original demo. Show a clear focus outline moving through a menu and form. Add keypress captions. Teal on white, no fear imagery or lawsuit figures. Split into three phone-first frames, each with one idea.</x:v>
      </x:c>
      <x:c r="P16" s="15" t="str">
        <x:v>1080 × 1920 px</x:v>
      </x:c>
      <x:c r="Q16" s="15" t="str">
        <x:v>Can your website be used without a mouse?. Put the mouse aside. Use Tab to move through the page. Look for visible focus. Original illustrative graphic by eLan Technology.</x:v>
      </x:c>
      <x:c r="R16" s="15" t="str">
        <x:v>Standard approval No client assets or testimonials. No paid promotion. Test the destination and mobile contact journey.</x:v>
      </x:c>
      <x:c r="S16" s="23" t="str">
        <x:v>☐</x:v>
      </x:c>
      <x:c r="T16" s="23" t="str">
        <x:v>☐</x:v>
      </x:c>
      <x:c r="U16" s="23" t="str">
        <x:v>☐</x:v>
      </x:c>
      <x:c r="V16" s="24"/>
      <x:c r="W16" s="22" t="str"/>
      <x:c r="X16" s="26"/>
      <x:c r="Y16" s="26"/>
      <x:c r="Z16" s="26"/>
      <x:c r="AA16" s="22" t="str"/>
      <x:c r="AB16" s="22" t="str"/>
    </x:row>
    <x:row r="17" ht="260" customHeight="1">
      <x:c r="A17" s="23" t="str">
        <x:v>☐</x:v>
      </x:c>
      <x:c r="B17" s="24" t="n">
        <x:v>46308</x:v>
      </x:c>
      <x:c r="C17" s="25" t="n">
        <x:v>0.4791666666666667</x:v>
      </x:c>
      <x:c r="D17" s="3" t="str">
        <x:v>O04</x:v>
      </x:c>
      <x:c r="E17" s="3" t="str">
        <x:v>Conditional</x:v>
      </x:c>
      <x:c r="F17" s="22" t="str">
        <x:v>Hold</x:v>
      </x:c>
      <x:c r="G17" s="22" t="str"/>
      <x:c r="H17" s="3" t="str">
        <x:v>Help us test a simpler business introduction</x:v>
      </x:c>
      <x:c r="I17" s="3" t="str">
        <x:v>FRAME 1
Help us test a simpler business introduction
FRAME 2
Interested in a digital card pilot?
Test the setup journey
Check the profile details
FRAME 3
Ask about the pilot. Reply here for details.
Subscription pricing + GST</x:v>
      </x:c>
      <x:c r="J17" s="3" t="str"/>
      <x:c r="K17" s="3" t="str">
        <x:v>Reply to Status</x:v>
      </x:c>
      <x:c r="L17" s="3" t="str">
        <x:v>https://elan-tech.net/contact/?utm_source=whatsapp&amp;utm_medium=social&amp;utm_campaign=q4_2026_digital_card&amp;utm_content=o04</x:v>
      </x:c>
      <x:c r="M17" s="3" t="str">
        <x:v>3 Status frames</x:v>
      </x:c>
      <x:c r="N17" s="3" t="str">
        <x:v>FRAME 1
Help us test a simpler business introduction
FRAME 2
Interested in a digital card pilot?
Test the setup journey
Check the profile details
FRAME 3
Ask about the pilot. Reply here for details.
Subscription pricing + GST</x:v>
      </x:c>
      <x:c r="O17" s="3" t="str">
        <x:v>Three-screen walkthrough with fictional data. Show only working steps. Closing card invites interest, with no free-forever or guaranteed access claim. Split into three phone-first frames, each with one idea.</x:v>
      </x:c>
      <x:c r="P17" s="3" t="str">
        <x:v>1080 × 1920 px</x:v>
      </x:c>
      <x:c r="Q17" s="3" t="str">
        <x:v>Help us test a simpler business introduction. Interested in a digital card pilot?. Test the setup journey. Check the profile details. Original illustrative graphic by eLan Technology.</x:v>
      </x:c>
      <x:c r="R17" s="3" t="str">
        <x:v>Pilot must be approved, functional and have written terms before invitations No client assets or testimonials. No paid promotion. Test the destination and mobile contact journey.</x:v>
      </x:c>
      <x:c r="S17" s="23" t="str">
        <x:v>☐</x:v>
      </x:c>
      <x:c r="T17" s="23" t="str">
        <x:v>☐</x:v>
      </x:c>
      <x:c r="U17" s="23" t="str">
        <x:v>☐</x:v>
      </x:c>
      <x:c r="V17" s="24"/>
      <x:c r="W17" s="22" t="str"/>
      <x:c r="X17" s="26"/>
      <x:c r="Y17" s="26"/>
      <x:c r="Z17" s="26"/>
      <x:c r="AA17" s="22" t="str"/>
      <x:c r="AB17"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18" ht="260" customHeight="1">
      <x:c r="A18" s="23" t="str">
        <x:v>☐</x:v>
      </x:c>
      <x:c r="B18" s="24" t="n">
        <x:v>46311</x:v>
      </x:c>
      <x:c r="C18" s="25" t="n">
        <x:v>0.4791666666666667</x:v>
      </x:c>
      <x:c r="D18" s="15" t="str">
        <x:v>O05</x:v>
      </x:c>
      <x:c r="E18" s="15" t="str">
        <x:v>Core</x:v>
      </x:c>
      <x:c r="F18" s="22" t="str">
        <x:v>Draft</x:v>
      </x:c>
      <x:c r="G18" s="22" t="str"/>
      <x:c r="H18" s="15" t="str">
        <x:v>What should a website quote explain?</x:v>
      </x:c>
      <x:c r="I18" s="15" t="str">
        <x:v>FRAME 1
What should a website quote explain?
FRAME 2
List the deliverables
Agree who supplies content
Clarify revisions and approvals
FRAME 3
Request a scoped website quote. Reply here for details.</x:v>
      </x:c>
      <x:c r="J18" s="15" t="str"/>
      <x:c r="K18" s="15" t="str">
        <x:v>Reply to Status</x:v>
      </x:c>
      <x:c r="L18" s="15" t="str">
        <x:v>https://elan-tech.net/contact/?utm_source=whatsapp&amp;utm_medium=social&amp;utm_campaign=q4_2026_websites&amp;utm_content=o05</x:v>
      </x:c>
      <x:c r="M18" s="15" t="str">
        <x:v>3 Status frames</x:v>
      </x:c>
      <x:c r="N18" s="15" t="str">
        <x:v>FRAME 1
What should a website quote explain?
FRAME 2
List the deliverables
Agree who supplies content
Clarify revisions and approvals
FRAME 3
Request a scoped website quote. Reply here for details.</x:v>
      </x:c>
      <x:c r="O18" s="15" t="str">
        <x:v>Five clean document-style panels, orange highlights on key terms. No fake competitor quote or fabricated saving. Split into three phone-first frames, each with one idea.</x:v>
      </x:c>
      <x:c r="P18" s="15" t="str">
        <x:v>1080 × 1920 px</x:v>
      </x:c>
      <x:c r="Q18" s="15" t="str">
        <x:v>What should a website quote explain?. List the deliverables. Agree who supplies content. Clarify revisions and approvals. Original illustrative graphic by eLan Technology.</x:v>
      </x:c>
      <x:c r="R18" s="15" t="str">
        <x:v>Standard approval No client assets or testimonials. No paid promotion. Test the destination and mobile contact journey.</x:v>
      </x:c>
      <x:c r="S18" s="23" t="str">
        <x:v>☐</x:v>
      </x:c>
      <x:c r="T18" s="23" t="str">
        <x:v>☐</x:v>
      </x:c>
      <x:c r="U18" s="23" t="str">
        <x:v>☐</x:v>
      </x:c>
      <x:c r="V18" s="24"/>
      <x:c r="W18" s="22" t="str"/>
      <x:c r="X18" s="26"/>
      <x:c r="Y18" s="26"/>
      <x:c r="Z18" s="26"/>
      <x:c r="AA18" s="22" t="str"/>
      <x:c r="AB18" s="22" t="str"/>
    </x:row>
    <x:row r="19" ht="260" customHeight="1">
      <x:c r="A19" s="23" t="str">
        <x:v>☐</x:v>
      </x:c>
      <x:c r="B19" s="24" t="n">
        <x:v>46315</x:v>
      </x:c>
      <x:c r="C19" s="25" t="n">
        <x:v>0.4791666666666667</x:v>
      </x:c>
      <x:c r="D19" s="3" t="str">
        <x:v>O06</x:v>
      </x:c>
      <x:c r="E19" s="3" t="str">
        <x:v>Core</x:v>
      </x:c>
      <x:c r="F19" s="22" t="str">
        <x:v>Draft</x:v>
      </x:c>
      <x:c r="G19" s="22" t="str"/>
      <x:c r="H19" s="3" t="str">
        <x:v>Shopify, WooCommerce or Medusa.js?</x:v>
      </x:c>
      <x:c r="I19" s="3" t="str">
        <x:v>FRAME 1
Shopify, WooCommerce or Medusa.js?
FRAME 2
Shopify: managed commerce platform
WooCommerce: commerce on WordPress
Medusa.js: custom commerce development
FRAME 3
Discuss your eCommerce requirements. Reply here for details.</x:v>
      </x:c>
      <x:c r="J19" s="3" t="str"/>
      <x:c r="K19" s="3" t="str">
        <x:v>Reply to Status</x:v>
      </x:c>
      <x:c r="L19" s="3" t="str">
        <x:v>https://elan-tech.net/services/ecommerce/?utm_source=whatsapp&amp;utm_medium=social&amp;utm_campaign=q4_2026_commerce&amp;utm_content=o06</x:v>
      </x:c>
      <x:c r="M19" s="3" t="str">
        <x:v>3 Status frames</x:v>
      </x:c>
      <x:c r="N19" s="3" t="str">
        <x:v>FRAME 1
Shopify, WooCommerce or Medusa.js?
FRAME 2
Shopify: managed commerce platform
WooCommerce: commerce on WordPress
Medusa.js: custom commerce development
FRAME 3
Discuss your eCommerce requirements. Reply here for details.</x:v>
      </x:c>
      <x:c r="O19" s="3" t="str">
        <x:v>Three equal rectangular cards in green, purple and indigo. No winner badge. Final comparison slide lists operations, integrations and maintenance. Keep names as text unless approved logos are available. Split into three phone-first frames, each with one idea.</x:v>
      </x:c>
      <x:c r="P19" s="3" t="str">
        <x:v>1080 × 1920 px</x:v>
      </x:c>
      <x:c r="Q19" s="3" t="str">
        <x:v>Shopify, WooCommerce or Medusa.js?. Shopify: managed commerce platform. WooCommerce: commerce on WordPress. Medusa.js: custom commerce development. Original illustrative graphic by eLan Technology.</x:v>
      </x:c>
      <x:c r="R19" s="3" t="str">
        <x:v>Standard approval No client assets or testimonials. No paid promotion. Test the destination and mobile contact journey.</x:v>
      </x:c>
      <x:c r="S19" s="23" t="str">
        <x:v>☐</x:v>
      </x:c>
      <x:c r="T19" s="23" t="str">
        <x:v>☐</x:v>
      </x:c>
      <x:c r="U19" s="23" t="str">
        <x:v>☐</x:v>
      </x:c>
      <x:c r="V19" s="24"/>
      <x:c r="W19" s="22" t="str"/>
      <x:c r="X19" s="26"/>
      <x:c r="Y19" s="26"/>
      <x:c r="Z19" s="26"/>
      <x:c r="AA19" s="22" t="str"/>
      <x:c r="AB19" s="22" t="str"/>
    </x:row>
    <x:row r="20" ht="260" customHeight="1">
      <x:c r="A20" s="23" t="str">
        <x:v>☐</x:v>
      </x:c>
      <x:c r="B20" s="24" t="n">
        <x:v>46318</x:v>
      </x:c>
      <x:c r="C20" s="25" t="n">
        <x:v>0.4791666666666667</x:v>
      </x:c>
      <x:c r="D20" s="15" t="str">
        <x:v>O07</x:v>
      </x:c>
      <x:c r="E20" s="15" t="str">
        <x:v>Core</x:v>
      </x:c>
      <x:c r="F20" s="22" t="str">
        <x:v>Draft</x:v>
      </x:c>
      <x:c r="G20" s="22" t="str"/>
      <x:c r="H20" s="15" t="str">
        <x:v>A local business website starts with real questions</x:v>
      </x:c>
      <x:c r="I20" s="15" t="str">
        <x:v>FRAME 1
A local business website starts with real questions
FRAME 2
What do customers need to know?
Explain services in everyday language
State the real service area
FRAME 3
Request a business website quote. Reply here for details.</x:v>
      </x:c>
      <x:c r="J20" s="15" t="str"/>
      <x:c r="K20" s="15" t="str">
        <x:v>Reply to Status</x:v>
      </x:c>
      <x:c r="L20" s="15" t="str">
        <x:v>https://elan-tech.net/contact/?utm_source=whatsapp&amp;utm_medium=social&amp;utm_campaign=q4_2026_websites&amp;utm_content=o07</x:v>
      </x:c>
      <x:c r="M20" s="15" t="str">
        <x:v>3 Status frames</x:v>
      </x:c>
      <x:c r="N20" s="15" t="str">
        <x:v>FRAME 1
A local business website starts with real questions
FRAME 2
What do customers need to know?
Explain services in everyday language
State the real service area
FRAME 3
Request a business website quote. Reply here for details.</x:v>
      </x:c>
      <x:c r="O20" s="15" t="str">
        <x:v>Original wireframe sequence: customer questions, service page, contact panel, phone view. Small Nagpur label, no fictional branch offices or client locations. Split into three phone-first frames, each with one idea.</x:v>
      </x:c>
      <x:c r="P20" s="15" t="str">
        <x:v>1080 × 1920 px</x:v>
      </x:c>
      <x:c r="Q20" s="15" t="str">
        <x:v>A local business website starts with real questions. What do customers need to know?. Explain services in everyday language. State the real service area. Original illustrative graphic by eLan Technology.</x:v>
      </x:c>
      <x:c r="R20" s="15" t="str">
        <x:v>Standard approval No client assets or testimonials. No paid promotion. Test the destination and mobile contact journey.</x:v>
      </x:c>
      <x:c r="S20" s="23" t="str">
        <x:v>☐</x:v>
      </x:c>
      <x:c r="T20" s="23" t="str">
        <x:v>☐</x:v>
      </x:c>
      <x:c r="U20" s="23" t="str">
        <x:v>☐</x:v>
      </x:c>
      <x:c r="V20" s="24"/>
      <x:c r="W20" s="22" t="str"/>
      <x:c r="X20" s="26"/>
      <x:c r="Y20" s="26"/>
      <x:c r="Z20" s="26"/>
      <x:c r="AA20" s="22" t="str"/>
      <x:c r="AB20" s="22" t="str"/>
    </x:row>
    <x:row r="21" ht="260" customHeight="1">
      <x:c r="A21" s="23" t="str">
        <x:v>☐</x:v>
      </x:c>
      <x:c r="B21" s="24" t="n">
        <x:v>46322</x:v>
      </x:c>
      <x:c r="C21" s="25" t="n">
        <x:v>0.4791666666666667</x:v>
      </x:c>
      <x:c r="D21" s="3" t="str">
        <x:v>O08</x:v>
      </x:c>
      <x:c r="E21" s="3" t="str">
        <x:v>Core</x:v>
      </x:c>
      <x:c r="F21" s="22" t="str">
        <x:v>Draft</x:v>
      </x:c>
      <x:c r="G21" s="22" t="str"/>
      <x:c r="H21" s="3" t="str">
        <x:v>Four checkout checks before your next promotion</x:v>
      </x:c>
      <x:c r="I21" s="3" t="str">
        <x:v>FRAME 1
Four checkout checks before your next promotion
FRAME 2
Try the journey on mobile
Check delivery-cost clarity
Read form error messages
FRAME 3
Discuss store improvements. Reply here for details.</x:v>
      </x:c>
      <x:c r="J21" s="3" t="str"/>
      <x:c r="K21" s="3" t="str">
        <x:v>Reply to Status</x:v>
      </x:c>
      <x:c r="L21" s="3" t="str">
        <x:v>https://elan-tech.net/services/ecommerce/?utm_source=whatsapp&amp;utm_medium=social&amp;utm_campaign=q4_2026_commerce&amp;utm_content=o08</x:v>
      </x:c>
      <x:c r="M21" s="3" t="str">
        <x:v>3 Status frames</x:v>
      </x:c>
      <x:c r="N21" s="3" t="str">
        <x:v>FRAME 1
Four checkout checks before your next promotion
FRAME 2
Try the journey on mobile
Check delivery-cost clarity
Read form error messages
FRAME 3
Discuss store improvements. Reply here for details.</x:v>
      </x:c>
      <x:c r="O21" s="3" t="str">
        <x:v>30-second sandbox recording with four chapter cards. Show sample cart and error message without real customer details or payment credentials. Split into three phone-first frames, each with one idea.</x:v>
      </x:c>
      <x:c r="P21" s="3" t="str">
        <x:v>1080 × 1920 px</x:v>
      </x:c>
      <x:c r="Q21" s="3" t="str">
        <x:v>Four checkout checks before your next promotion. Try the journey on mobile. Check delivery-cost clarity. Read form error messages. Original illustrative graphic by eLan Technology.</x:v>
      </x:c>
      <x:c r="R21" s="3" t="str">
        <x:v>Standard approval No client assets or testimonials. No paid promotion. Test the destination and mobile contact journey.</x:v>
      </x:c>
      <x:c r="S21" s="23" t="str">
        <x:v>☐</x:v>
      </x:c>
      <x:c r="T21" s="23" t="str">
        <x:v>☐</x:v>
      </x:c>
      <x:c r="U21" s="23" t="str">
        <x:v>☐</x:v>
      </x:c>
      <x:c r="V21" s="24"/>
      <x:c r="W21" s="22" t="str"/>
      <x:c r="X21" s="26"/>
      <x:c r="Y21" s="26"/>
      <x:c r="Z21" s="26"/>
      <x:c r="AA21" s="22" t="str"/>
      <x:c r="AB21" s="22" t="str"/>
    </x:row>
    <x:row r="22" ht="260" customHeight="1">
      <x:c r="A22" s="23" t="str">
        <x:v>☐</x:v>
      </x:c>
      <x:c r="B22" s="24" t="n">
        <x:v>46325</x:v>
      </x:c>
      <x:c r="C22" s="25" t="n">
        <x:v>0.4791666666666667</x:v>
      </x:c>
      <x:c r="D22" s="15" t="str">
        <x:v>O09</x:v>
      </x:c>
      <x:c r="E22" s="15" t="str">
        <x:v>Conditional</x:v>
      </x:c>
      <x:c r="F22" s="22" t="str">
        <x:v>Hold</x:v>
      </x:c>
      <x:c r="G22" s="22" t="str"/>
      <x:c r="H22" s="15" t="str">
        <x:v>What makes a digital card easy to use?</x:v>
      </x:c>
      <x:c r="I22" s="15" t="str">
        <x:v>FRAME 1
What makes a digital card easy to use?
FRAME 2
Readable on a phone
Clear contact choices
A practical sharing journey
FRAME 3
Request a preview update. Reply here for details.
Subscription pricing + GST</x:v>
      </x:c>
      <x:c r="J22" s="15" t="str"/>
      <x:c r="K22" s="15" t="str">
        <x:v>Reply to Status</x:v>
      </x:c>
      <x:c r="L22" s="15" t="str">
        <x:v>https://elan-tech.net/contact/?utm_source=whatsapp&amp;utm_medium=social&amp;utm_campaign=q4_2026_digital_card&amp;utm_content=o09</x:v>
      </x:c>
      <x:c r="M22" s="15" t="str">
        <x:v>3 Status frames</x:v>
      </x:c>
      <x:c r="N22" s="15" t="str">
        <x:v>FRAME 1
What makes a digital card easy to use?
FRAME 2
Readable on a phone
Clear contact choices
A practical sharing journey
FRAME 3
Request a preview update. Reply here for details.
Subscription pricing + GST</x:v>
      </x:c>
      <x:c r="O22" s="15" t="str">
        <x:v>Three-panel internal-test checklist using a verified sample screen. Do not fabricate test scores, customer feedback or improvements not completed. Split into three phone-first frames, each with one idea.</x:v>
      </x:c>
      <x:c r="P22" s="15" t="str">
        <x:v>1080 × 1920 px</x:v>
      </x:c>
      <x:c r="Q22" s="15" t="str">
        <x:v>What makes a digital card easy to use?. Readable on a phone. Clear contact choices. A practical sharing journey. Original illustrative graphic by eLan Technology.</x:v>
      </x:c>
      <x:c r="R22" s="15" t="str">
        <x:v>Verify actual test status; do not imply a completed pilot or user results No client assets or testimonials. No paid promotion. Test the destination and mobile contact journey.</x:v>
      </x:c>
      <x:c r="S22" s="23" t="str">
        <x:v>☐</x:v>
      </x:c>
      <x:c r="T22" s="23" t="str">
        <x:v>☐</x:v>
      </x:c>
      <x:c r="U22" s="23" t="str">
        <x:v>☐</x:v>
      </x:c>
      <x:c r="V22" s="24"/>
      <x:c r="W22" s="22" t="str"/>
      <x:c r="X22" s="26"/>
      <x:c r="Y22" s="26"/>
      <x:c r="Z22" s="26"/>
      <x:c r="AA22" s="22" t="str"/>
      <x:c r="AB22"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3" ht="260" customHeight="1">
      <x:c r="A23" s="23" t="str">
        <x:v>☐</x:v>
      </x:c>
      <x:c r="B23" s="24" t="n">
        <x:v>46329</x:v>
      </x:c>
      <x:c r="C23" s="25" t="n">
        <x:v>0.4791666666666667</x:v>
      </x:c>
      <x:c r="D23" s="3" t="str">
        <x:v>N01</x:v>
      </x:c>
      <x:c r="E23" s="3" t="str">
        <x:v>Core</x:v>
      </x:c>
      <x:c r="F23" s="22" t="str">
        <x:v>Draft</x:v>
      </x:c>
      <x:c r="G23" s="22" t="str"/>
      <x:c r="H23" s="3" t="str">
        <x:v>Accessibility audit and remediation are different</x:v>
      </x:c>
      <x:c r="I23" s="3" t="str">
        <x:v>FRAME 1
Accessibility audit and remediation are different
FRAME 2
Audit: identify barriers
Prioritise the agreed findings
Remediate: make the changes
FRAME 3
Request a scoped accessibility assessment. Reply here for details.</x:v>
      </x:c>
      <x:c r="J23" s="3" t="str"/>
      <x:c r="K23" s="3" t="str">
        <x:v>Reply to Status</x:v>
      </x:c>
      <x:c r="L23" s="3" t="str">
        <x:v>https://elan-tech.net/services/ada-compliant-web-design/?utm_source=whatsapp&amp;utm_medium=social&amp;utm_campaign=q4_2026_accessibility&amp;utm_content=n01</x:v>
      </x:c>
      <x:c r="M23" s="3" t="str">
        <x:v>3 Status frames</x:v>
      </x:c>
      <x:c r="N23" s="3" t="str">
        <x:v>FRAME 1
Accessibility audit and remediation are different
FRAME 2
Audit: identify barriers
Prioritise the agreed findings
Remediate: make the changes
FRAME 3
Request a scoped accessibility assessment. Reply here for details.</x:v>
      </x:c>
      <x:c r="O23" s="3" t="str">
        <x:v>Three-stage flow with an explicit retest loop. Teal accent, plain labels, no shield claiming legal protection. Split into three phone-first frames, each with one idea.</x:v>
      </x:c>
      <x:c r="P23" s="3" t="str">
        <x:v>1080 × 1920 px</x:v>
      </x:c>
      <x:c r="Q23" s="3" t="str">
        <x:v>Accessibility audit and remediation are different. Audit: identify barriers. Prioritise the agreed findings. Remediate: make the changes. Original illustrative graphic by eLan Technology.</x:v>
      </x:c>
      <x:c r="R23" s="3" t="str">
        <x:v>Standard approval No client assets or testimonials. No paid promotion. Test the destination and mobile contact journey.</x:v>
      </x:c>
      <x:c r="S23" s="23" t="str">
        <x:v>☐</x:v>
      </x:c>
      <x:c r="T23" s="23" t="str">
        <x:v>☐</x:v>
      </x:c>
      <x:c r="U23" s="23" t="str">
        <x:v>☐</x:v>
      </x:c>
      <x:c r="V23" s="24"/>
      <x:c r="W23" s="22" t="str"/>
      <x:c r="X23" s="26"/>
      <x:c r="Y23" s="26"/>
      <x:c r="Z23" s="26"/>
      <x:c r="AA23" s="22" t="str"/>
      <x:c r="AB23" s="22" t="str"/>
    </x:row>
    <x:row r="24" ht="260" customHeight="1">
      <x:c r="A24" s="23" t="str">
        <x:v>☐</x:v>
      </x:c>
      <x:c r="B24" s="24" t="n">
        <x:v>46332</x:v>
      </x:c>
      <x:c r="C24" s="25" t="n">
        <x:v>0.4791666666666667</x:v>
      </x:c>
      <x:c r="D24" s="15" t="str">
        <x:v>N02</x:v>
      </x:c>
      <x:c r="E24" s="15" t="str">
        <x:v>Core</x:v>
      </x:c>
      <x:c r="F24" s="22" t="str">
        <x:v>Draft</x:v>
      </x:c>
      <x:c r="G24" s="22" t="str"/>
      <x:c r="H24" s="15" t="str">
        <x:v>Digital card or website: which do you need?</x:v>
      </x:c>
      <x:c r="I24" s="15" t="str">
        <x:v>FRAME 1
Digital card or website: which do you need?
FRAME 2
Digital card: a concise introduction
Website: deeper information and journeys
Some businesses need both
FRAME 3
Discuss the right option. Reply here for details.
Subscription pricing + GST</x:v>
      </x:c>
      <x:c r="J24" s="15" t="str"/>
      <x:c r="K24" s="15" t="str">
        <x:v>Reply to Status</x:v>
      </x:c>
      <x:c r="L24" s="15" t="str">
        <x:v>https://elan-tech.net/contact/?utm_source=whatsapp&amp;utm_medium=social&amp;utm_campaign=q4_2026_digital_card&amp;utm_content=n02</x:v>
      </x:c>
      <x:c r="M24" s="15" t="str">
        <x:v>3 Status frames</x:v>
      </x:c>
      <x:c r="N24" s="15" t="str">
        <x:v>FRAME 1
Digital card or website: which do you need?
FRAME 2
Digital card: a concise introduction
Website: deeper information and journeys
Some businesses need both
FRAME 3
Discuss the right option. Reply here for details.
Subscription pricing + GST</x:v>
      </x:c>
      <x:c r="O24" s="15" t="str">
        <x:v>Split layout of a simple sample profile and an original website wireframe. Equal visual weight, no misleading winner. Illustrative screens labelled. Split into three phone-first frames, each with one idea.</x:v>
      </x:c>
      <x:c r="P24" s="15" t="str">
        <x:v>1080 × 1920 px</x:v>
      </x:c>
      <x:c r="Q24" s="15" t="str">
        <x:v>Digital card or website: which do you need?. Digital card: a concise introduction. Website: deeper information and journeys. Some businesses need both. Original illustrative graphic by eLan Technology.</x:v>
      </x:c>
      <x:c r="R24" s="15" t="str">
        <x:v>Standard approval No client assets or testimonials. No paid promotion. Test the destination and mobile contact journey.</x:v>
      </x:c>
      <x:c r="S24" s="23" t="str">
        <x:v>☐</x:v>
      </x:c>
      <x:c r="T24" s="23" t="str">
        <x:v>☐</x:v>
      </x:c>
      <x:c r="U24" s="23" t="str">
        <x:v>☐</x:v>
      </x:c>
      <x:c r="V24" s="24"/>
      <x:c r="W24" s="22" t="str"/>
      <x:c r="X24" s="26"/>
      <x:c r="Y24" s="26"/>
      <x:c r="Z24" s="26"/>
      <x:c r="AA24" s="22" t="str"/>
      <x:c r="AB24"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5" ht="260" customHeight="1">
      <x:c r="A25" s="23" t="str">
        <x:v>☐</x:v>
      </x:c>
      <x:c r="B25" s="24" t="n">
        <x:v>46336</x:v>
      </x:c>
      <x:c r="C25" s="25" t="n">
        <x:v>0.4791666666666667</x:v>
      </x:c>
      <x:c r="D25" s="3" t="str">
        <x:v>N03</x:v>
      </x:c>
      <x:c r="E25" s="3" t="str">
        <x:v>Conditional</x:v>
      </x:c>
      <x:c r="F25" s="22" t="str">
        <x:v>Hold</x:v>
      </x:c>
      <x:c r="G25" s="22" t="str"/>
      <x:c r="H25" s="3" t="str">
        <x:v>Meet our digital business card</x:v>
      </x:c>
      <x:c r="I25" s="3" t="str">
        <x:v>FRAME 1
Meet our digital business card
FRAME 2
Meet the digital business card
Explore the working demo
Compare plan features and limits
FRAME 3
View the demo and plans. Reply here for details.
Subscription pricing + GST</x:v>
      </x:c>
      <x:c r="J25" s="3" t="str"/>
      <x:c r="K25" s="3" t="str">
        <x:v>Reply to Status</x:v>
      </x:c>
      <x:c r="L25" s="3" t="str"/>
      <x:c r="M25" s="3" t="str">
        <x:v>3 Status frames</x:v>
      </x:c>
      <x:c r="N25" s="3" t="str">
        <x:v>FRAME 1
Meet our digital business card
FRAME 2
Meet the digital business card
Explore the working demo
Compare plan features and limits
FRAME 3
View the demo and plans. Reply here for details.
Subscription pricing + GST</x:v>
      </x:c>
      <x:c r="O25" s="3" t="str">
        <x:v>40-second real product demo after launch approval: 0–5s introduction, 5–20s profile and two verified actions, 20–30s plans, 30–40s terms and link. Use final branding only. Split into three phone-first frames, each with one idea.</x:v>
      </x:c>
      <x:c r="P25" s="3" t="str">
        <x:v>1080 × 1920 px</x:v>
      </x:c>
      <x:c r="Q25" s="3" t="str">
        <x:v>Meet our digital business card. Meet the digital business card. Explore the working demo. Compare plan features and limits. Original illustrative graphic by eLan Technology.</x:v>
      </x:c>
      <x:c r="R25" s="3" t="str">
        <x:v>HOLD: provisional launch slot; publish only after explicit launch approval, working billing, terms and support No client assets or testimonials. No paid promotion. Add and test the approved product URL before publishing.</x:v>
      </x:c>
      <x:c r="S25" s="23" t="str">
        <x:v>☐</x:v>
      </x:c>
      <x:c r="T25" s="23" t="str">
        <x:v>☐</x:v>
      </x:c>
      <x:c r="U25" s="23" t="str">
        <x:v>☐</x:v>
      </x:c>
      <x:c r="V25" s="24"/>
      <x:c r="W25" s="22" t="str"/>
      <x:c r="X25" s="26"/>
      <x:c r="Y25" s="26"/>
      <x:c r="Z25" s="26"/>
      <x:c r="AA25" s="22" t="str"/>
      <x:c r="AB25"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6" ht="260" customHeight="1">
      <x:c r="A26" s="23" t="str">
        <x:v>☐</x:v>
      </x:c>
      <x:c r="B26" s="24" t="n">
        <x:v>46339</x:v>
      </x:c>
      <x:c r="C26" s="25" t="n">
        <x:v>0.4791666666666667</x:v>
      </x:c>
      <x:c r="D26" s="15" t="str">
        <x:v>N04</x:v>
      </x:c>
      <x:c r="E26" s="15" t="str">
        <x:v>Conditional</x:v>
      </x:c>
      <x:c r="F26" s="22" t="str">
        <x:v>Hold</x:v>
      </x:c>
      <x:c r="G26" s="22" t="str"/>
      <x:c r="H26" s="15" t="str">
        <x:v>From signup to your first shared card</x:v>
      </x:c>
      <x:c r="I26" s="15" t="str">
        <x:v>FRAME 1
From signup to your first shared card
FRAME 2
Choose the appropriate plan
Enter accurate business details
Preview on a phone
FRAME 3
Request the product walkthrough. Reply here for details.
Subscription pricing + GST</x:v>
      </x:c>
      <x:c r="J26" s="15" t="str"/>
      <x:c r="K26" s="15" t="str">
        <x:v>Reply to Status</x:v>
      </x:c>
      <x:c r="L26" s="15" t="str"/>
      <x:c r="M26" s="15" t="str">
        <x:v>3 Status frames</x:v>
      </x:c>
      <x:c r="N26" s="15" t="str">
        <x:v>FRAME 1
From signup to your first shared card
FRAME 2
Choose the appropriate plan
Enter accurate business details
Preview on a phone
FRAME 3
Request the product walkthrough. Reply here for details.
Subscription pricing + GST</x:v>
      </x:c>
      <x:c r="O26" s="15" t="str">
        <x:v>Captioned real onboarding recording using a fictional test identity. Match every step to the released product. No promise of completion in a fixed number of minutes. Split into three phone-first frames, each with one idea.</x:v>
      </x:c>
      <x:c r="P26" s="15" t="str">
        <x:v>1080 × 1920 px</x:v>
      </x:c>
      <x:c r="Q26" s="15" t="str">
        <x:v>From signup to your first shared card. Choose the appropriate plan. Enter accurate business details. Preview on a phone. Original illustrative graphic by eLan Technology.</x:v>
      </x:c>
      <x:c r="R26" s="15" t="str">
        <x:v>HOLD unless launched and all shown steps match the released product No client assets or testimonials. No paid promotion. Add and test the approved product URL before publishing.</x:v>
      </x:c>
      <x:c r="S26" s="23" t="str">
        <x:v>☐</x:v>
      </x:c>
      <x:c r="T26" s="23" t="str">
        <x:v>☐</x:v>
      </x:c>
      <x:c r="U26" s="23" t="str">
        <x:v>☐</x:v>
      </x:c>
      <x:c r="V26" s="24"/>
      <x:c r="W26" s="22" t="str"/>
      <x:c r="X26" s="26"/>
      <x:c r="Y26" s="26"/>
      <x:c r="Z26" s="26"/>
      <x:c r="AA26" s="22" t="str"/>
      <x:c r="AB26"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7" ht="260" customHeight="1">
      <x:c r="A27" s="23" t="str">
        <x:v>☐</x:v>
      </x:c>
      <x:c r="B27" s="24" t="n">
        <x:v>46343</x:v>
      </x:c>
      <x:c r="C27" s="25" t="n">
        <x:v>0.4791666666666667</x:v>
      </x:c>
      <x:c r="D27" s="3" t="str">
        <x:v>N05</x:v>
      </x:c>
      <x:c r="E27" s="3" t="str">
        <x:v>Core</x:v>
      </x:c>
      <x:c r="F27" s="22" t="str">
        <x:v>Draft</x:v>
      </x:c>
      <x:c r="G27" s="22" t="str"/>
      <x:c r="H27" s="3" t="str">
        <x:v>What affects custom Medusa.js development cost?</x:v>
      </x:c>
      <x:c r="I27" s="3" t="str">
        <x:v>FRAME 1
What affects custom Medusa.js development cost?
FRAME 2
Storefront and product catalogue
Order and subscription rules
Payment integrations
FRAME 3
Request a scoped Medusa.js quote. Reply here for details.</x:v>
      </x:c>
      <x:c r="J27" s="3" t="str"/>
      <x:c r="K27" s="3" t="str">
        <x:v>Reply to Status</x:v>
      </x:c>
      <x:c r="L27" s="3" t="str">
        <x:v>https://elan-tech.net/services/ecommerce/medusa-js-development/?utm_source=whatsapp&amp;utm_medium=social&amp;utm_campaign=q4_2026_medusa&amp;utm_content=n05</x:v>
      </x:c>
      <x:c r="M27" s="3" t="str">
        <x:v>3 Status frames</x:v>
      </x:c>
      <x:c r="N27" s="3" t="str">
        <x:v>FRAME 1
What affects custom Medusa.js development cost?
FRAME 2
Storefront and product catalogue
Order and subscription rules
Payment integrations
FRAME 3
Request a scoped Medusa.js quote. Reply here for details.</x:v>
      </x:c>
      <x:c r="O27" s="3" t="str">
        <x:v>Five connected scope blocks in indigo. Use equal-sized rectangles rather than an invented price ladder. Close with a short requirements checklist. Split into three phone-first frames, each with one idea.</x:v>
      </x:c>
      <x:c r="P27" s="3" t="str">
        <x:v>1080 × 1920 px</x:v>
      </x:c>
      <x:c r="Q27" s="3" t="str">
        <x:v>What affects custom Medusa.js development cost?. Storefront and product catalogue. Order and subscription rules. Payment integrations. Original illustrative graphic by eLan Technology.</x:v>
      </x:c>
      <x:c r="R27" s="3" t="str">
        <x:v>Standard approval No client assets or testimonials. No paid promotion. Test the destination and mobile contact journey.</x:v>
      </x:c>
      <x:c r="S27" s="23" t="str">
        <x:v>☐</x:v>
      </x:c>
      <x:c r="T27" s="23" t="str">
        <x:v>☐</x:v>
      </x:c>
      <x:c r="U27" s="23" t="str">
        <x:v>☐</x:v>
      </x:c>
      <x:c r="V27" s="24"/>
      <x:c r="W27" s="22" t="str"/>
      <x:c r="X27" s="26"/>
      <x:c r="Y27" s="26"/>
      <x:c r="Z27" s="26"/>
      <x:c r="AA27" s="22" t="str"/>
      <x:c r="AB27" s="22" t="str"/>
    </x:row>
    <x:row r="28" ht="260" customHeight="1">
      <x:c r="A28" s="23" t="str">
        <x:v>☐</x:v>
      </x:c>
      <x:c r="B28" s="24" t="n">
        <x:v>46346</x:v>
      </x:c>
      <x:c r="C28" s="25" t="n">
        <x:v>0.4791666666666667</x:v>
      </x:c>
      <x:c r="D28" s="15" t="str">
        <x:v>N06</x:v>
      </x:c>
      <x:c r="E28" s="15" t="str">
        <x:v>Core</x:v>
      </x:c>
      <x:c r="F28" s="22" t="str">
        <x:v>Draft</x:v>
      </x:c>
      <x:c r="G28" s="22" t="str"/>
      <x:c r="H28" s="15" t="str">
        <x:v>After a meeting, send a useful introduction</x:v>
      </x:c>
      <x:c r="I28" s="15" t="str">
        <x:v>FRAME 1
After a meeting, send a useful introduction
FRAME 2
Refer to the conversation
Share only relevant details
Make the next step clear
FRAME 3
Ask about the digital card. Reply here for details.
Subscription pricing + GST</x:v>
      </x:c>
      <x:c r="J28" s="15" t="str"/>
      <x:c r="K28" s="15" t="str">
        <x:v>Reply to Status</x:v>
      </x:c>
      <x:c r="L28" s="15" t="str">
        <x:v>https://elan-tech.net/contact/?utm_source=whatsapp&amp;utm_medium=social&amp;utm_campaign=q4_2026_digital_card&amp;utm_content=n06</x:v>
      </x:c>
      <x:c r="M28" s="15" t="str">
        <x:v>3 Status frames</x:v>
      </x:c>
      <x:c r="N28" s="15" t="str">
        <x:v>FRAME 1
After a meeting, send a useful introduction
FRAME 2
Refer to the conversation
Share only relevant details
Make the next step clear
FRAME 3
Ask about the digital card. Reply here for details.
Subscription pricing + GST</x:v>
      </x:c>
      <x:c r="O28" s="15" t="str">
        <x:v>Staged two-person meeting and fictional message overlay. No real contacts, client logos or invented message screenshots presented as genuine. End with a labelled sample profile. Split into three phone-first frames, each with one idea.</x:v>
      </x:c>
      <x:c r="P28" s="15" t="str">
        <x:v>1080 × 1920 px</x:v>
      </x:c>
      <x:c r="Q28" s="15" t="str">
        <x:v>After a meeting, send a useful introduction. Refer to the conversation. Share only relevant details. Make the next step clear. Original illustrative graphic by eLan Technology.</x:v>
      </x:c>
      <x:c r="R28" s="15" t="str">
        <x:v>Standard approval No client assets or testimonials. No paid promotion. Test the destination and mobile contact journey.</x:v>
      </x:c>
      <x:c r="S28" s="23" t="str">
        <x:v>☐</x:v>
      </x:c>
      <x:c r="T28" s="23" t="str">
        <x:v>☐</x:v>
      </x:c>
      <x:c r="U28" s="23" t="str">
        <x:v>☐</x:v>
      </x:c>
      <x:c r="V28" s="24"/>
      <x:c r="W28" s="22" t="str"/>
      <x:c r="X28" s="26"/>
      <x:c r="Y28" s="26"/>
      <x:c r="Z28" s="26"/>
      <x:c r="AA28" s="22" t="str"/>
      <x:c r="AB28"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29" ht="260" customHeight="1">
      <x:c r="A29" s="23" t="str">
        <x:v>☐</x:v>
      </x:c>
      <x:c r="B29" s="24" t="n">
        <x:v>46350</x:v>
      </x:c>
      <x:c r="C29" s="25" t="n">
        <x:v>0.4791666666666667</x:v>
      </x:c>
      <x:c r="D29" s="3" t="str">
        <x:v>N07</x:v>
      </x:c>
      <x:c r="E29" s="3" t="str">
        <x:v>Core</x:v>
      </x:c>
      <x:c r="F29" s="22" t="str">
        <x:v>Draft</x:v>
      </x:c>
      <x:c r="G29" s="22" t="str"/>
      <x:c r="H29" s="3" t="str">
        <x:v>A portal shaped around your organisation</x:v>
      </x:c>
      <x:c r="I29" s="3" t="str">
        <x:v>FRAME 1
A portal shaped around your organisation
FRAME 2
Real Estate Portal
Medical Conference Portal
IMA Society Portal
FRAME 3
Request a portal discussion. Reply here for details.</x:v>
      </x:c>
      <x:c r="J29" s="3" t="str"/>
      <x:c r="K29" s="3" t="str">
        <x:v>Reply to Status</x:v>
      </x:c>
      <x:c r="L29" s="3" t="str">
        <x:v>https://elan-tech.net/products/?utm_source=whatsapp&amp;utm_medium=social&amp;utm_campaign=q4_2026_portals&amp;utm_content=n07</x:v>
      </x:c>
      <x:c r="M29" s="3" t="str">
        <x:v>3 Status frames</x:v>
      </x:c>
      <x:c r="N29" s="3" t="str">
        <x:v>FRAME 1
A portal shaped around your organisation
FRAME 2
Real Estate Portal
Medical Conference Portal
IMA Society Portal
FRAME 3
Request a portal discussion. Reply here for details.</x:v>
      </x:c>
      <x:c r="O29" s="3" t="str">
        <x:v>Four original workflow tiles with one sample admin diagram. Do not use PropertyCab as the product name. Mark Demonstration. No unlimited licence, ownership or SaaS-free promise. Split into three phone-first frames, each with one idea.</x:v>
      </x:c>
      <x:c r="P29" s="3" t="str">
        <x:v>1080 × 1920 px</x:v>
      </x:c>
      <x:c r="Q29" s="3" t="str">
        <x:v>A portal shaped around your organisation. Real Estate Portal. Medical Conference Portal. IMA Society Portal. Original illustrative graphic by eLan Technology.</x:v>
      </x:c>
      <x:c r="R29" s="3" t="str">
        <x:v>Standard approval No client assets or testimonials. No paid promotion. Test the destination and mobile contact journey.</x:v>
      </x:c>
      <x:c r="S29" s="23" t="str">
        <x:v>☐</x:v>
      </x:c>
      <x:c r="T29" s="23" t="str">
        <x:v>☐</x:v>
      </x:c>
      <x:c r="U29" s="23" t="str">
        <x:v>☐</x:v>
      </x:c>
      <x:c r="V29" s="24"/>
      <x:c r="W29" s="22" t="str"/>
      <x:c r="X29" s="26"/>
      <x:c r="Y29" s="26"/>
      <x:c r="Z29" s="26"/>
      <x:c r="AA29" s="22" t="str"/>
      <x:c r="AB29" s="22" t="str"/>
    </x:row>
    <x:row r="30" ht="260" customHeight="1">
      <x:c r="A30" s="23" t="str">
        <x:v>☐</x:v>
      </x:c>
      <x:c r="B30" s="24" t="n">
        <x:v>46353</x:v>
      </x:c>
      <x:c r="C30" s="25" t="n">
        <x:v>0.4791666666666667</x:v>
      </x:c>
      <x:c r="D30" s="15" t="str">
        <x:v>N08</x:v>
      </x:c>
      <x:c r="E30" s="15" t="str">
        <x:v>Core</x:v>
      </x:c>
      <x:c r="F30" s="22" t="str">
        <x:v>Draft</x:v>
      </x:c>
      <x:c r="G30" s="22" t="str"/>
      <x:c r="H30" s="15" t="str">
        <x:v>Paper and digital cards can work together</x:v>
      </x:c>
      <x:c r="I30" s="15" t="str">
        <x:v>FRAME 1
Paper and digital cards can work together
FRAME 2
A printed card starts a conversation
A digital profile adds another route
Test the QR destination
FRAME 3
Ask about digital card options. Reply here for details.
Subscription pricing + GST</x:v>
      </x:c>
      <x:c r="J30" s="15" t="str"/>
      <x:c r="K30" s="15" t="str">
        <x:v>Reply to Status</x:v>
      </x:c>
      <x:c r="L30" s="15" t="str">
        <x:v>https://elan-tech.net/contact/?utm_source=whatsapp&amp;utm_medium=social&amp;utm_campaign=q4_2026_digital_card&amp;utm_content=n08</x:v>
      </x:c>
      <x:c r="M30" s="15" t="str">
        <x:v>3 Status frames</x:v>
      </x:c>
      <x:c r="N30" s="15" t="str">
        <x:v>FRAME 1
Paper and digital cards can work together
FRAME 2
A printed card starts a conversation
A digital profile adds another route
Test the QR destination
FRAME 3
Ask about digital card options. Reply here for details.
Subscription pricing + GST</x:v>
      </x:c>
      <x:c r="O30" s="15" t="str">
        <x:v>Side-by-side original printed card and sample phone profile. QR placeholder must not be published as a working code. Replace with a tested code only after the final domain is ready. Split into three phone-first frames, each with one idea.</x:v>
      </x:c>
      <x:c r="P30" s="15" t="str">
        <x:v>1080 × 1920 px</x:v>
      </x:c>
      <x:c r="Q30" s="15" t="str">
        <x:v>Paper and digital cards can work together. A printed card starts a conversation. A digital profile adds another route. Test the QR destination. Original illustrative graphic by eLan Technology.</x:v>
      </x:c>
      <x:c r="R30" s="15" t="str">
        <x:v>Standard approval No client assets or testimonials. No paid promotion. Test the destination and mobile contact journey.</x:v>
      </x:c>
      <x:c r="S30" s="23" t="str">
        <x:v>☐</x:v>
      </x:c>
      <x:c r="T30" s="23" t="str">
        <x:v>☐</x:v>
      </x:c>
      <x:c r="U30" s="23" t="str">
        <x:v>☐</x:v>
      </x:c>
      <x:c r="V30" s="24"/>
      <x:c r="W30" s="22" t="str"/>
      <x:c r="X30" s="26"/>
      <x:c r="Y30" s="26"/>
      <x:c r="Z30" s="26"/>
      <x:c r="AA30" s="22" t="str"/>
      <x:c r="AB30"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1" ht="260" customHeight="1">
      <x:c r="A31" s="23" t="str">
        <x:v>☐</x:v>
      </x:c>
      <x:c r="B31" s="24" t="n">
        <x:v>46357</x:v>
      </x:c>
      <x:c r="C31" s="25" t="n">
        <x:v>0.4791666666666667</x:v>
      </x:c>
      <x:c r="D31" s="3" t="str">
        <x:v>D01</x:v>
      </x:c>
      <x:c r="E31" s="3" t="str">
        <x:v>Core</x:v>
      </x:c>
      <x:c r="F31" s="22" t="str">
        <x:v>Draft</x:v>
      </x:c>
      <x:c r="G31" s="22" t="str"/>
      <x:c r="H31" s="3" t="str">
        <x:v>What responsive website support looks like</x:v>
      </x:c>
      <x:c r="I31" s="3" t="str">
        <x:v>FRAME 1
What responsive website support looks like
FRAME 2
Describe the issue clearly
Share steps and a safe screenshot
Agree priority and scope
FRAME 3
Discuss website support. Reply here for details.</x:v>
      </x:c>
      <x:c r="J31" s="3" t="str"/>
      <x:c r="K31" s="3" t="str">
        <x:v>Reply to Status</x:v>
      </x:c>
      <x:c r="L31" s="3" t="str">
        <x:v>https://elan-tech.net/contact/?utm_source=whatsapp&amp;utm_medium=social&amp;utm_campaign=q4_2026_support&amp;utm_content=d01</x:v>
      </x:c>
      <x:c r="M31" s="3" t="str">
        <x:v>3 Status frames</x:v>
      </x:c>
      <x:c r="N31" s="3" t="str">
        <x:v>FRAME 1
What responsive website support looks like
FRAME 2
Describe the issue clearly
Share steps and a safe screenshot
Agree priority and scope
FRAME 3
Discuss website support. Reply here for details.</x:v>
      </x:c>
      <x:c r="O31" s="3" t="str">
        <x:v>Four-panel ticket journey with fictional sample issue, no timestamps implying an SLA. Blue and teal. Avoid customer quotes or a fabricated support rating. Split into three phone-first frames, each with one idea.</x:v>
      </x:c>
      <x:c r="P31" s="3" t="str">
        <x:v>1080 × 1920 px</x:v>
      </x:c>
      <x:c r="Q31" s="3" t="str">
        <x:v>What responsive website support looks like. Describe the issue clearly. Share steps and a safe screenshot. Agree priority and scope. Original illustrative graphic by eLan Technology.</x:v>
      </x:c>
      <x:c r="R31" s="3" t="str">
        <x:v>Standard approval No client assets or testimonials. No paid promotion. Test the destination and mobile contact journey.</x:v>
      </x:c>
      <x:c r="S31" s="23" t="str">
        <x:v>☐</x:v>
      </x:c>
      <x:c r="T31" s="23" t="str">
        <x:v>☐</x:v>
      </x:c>
      <x:c r="U31" s="23" t="str">
        <x:v>☐</x:v>
      </x:c>
      <x:c r="V31" s="24"/>
      <x:c r="W31" s="22" t="str"/>
      <x:c r="X31" s="26"/>
      <x:c r="Y31" s="26"/>
      <x:c r="Z31" s="26"/>
      <x:c r="AA31" s="22" t="str"/>
      <x:c r="AB31" s="22" t="str"/>
    </x:row>
    <x:row r="32" ht="260" customHeight="1">
      <x:c r="A32" s="23" t="str">
        <x:v>☐</x:v>
      </x:c>
      <x:c r="B32" s="24" t="n">
        <x:v>46359</x:v>
      </x:c>
      <x:c r="C32" s="25" t="n">
        <x:v>0.4791666666666667</x:v>
      </x:c>
      <x:c r="D32" s="15" t="str">
        <x:v>D02</x:v>
      </x:c>
      <x:c r="E32" s="15" t="str">
        <x:v>Core</x:v>
      </x:c>
      <x:c r="F32" s="22" t="str">
        <x:v>Draft</x:v>
      </x:c>
      <x:c r="G32" s="22" t="str"/>
      <x:c r="H32" s="15" t="str">
        <x:v>Digital access should work for more people</x:v>
      </x:c>
      <x:c r="I32" s="15" t="str">
        <x:v>FRAME 1
Digital access should work for more people
FRAME 2
Readable content
Clear form labels
Keyboard operation
FRAME 3
Discuss an accessibility assessment. Reply here for details.</x:v>
      </x:c>
      <x:c r="J32" s="15" t="str"/>
      <x:c r="K32" s="15" t="str">
        <x:v>Reply to Status</x:v>
      </x:c>
      <x:c r="L32" s="15" t="str">
        <x:v>https://elan-tech.net/services/ada-compliant-web-design/?utm_source=whatsapp&amp;utm_medium=social&amp;utm_campaign=q4_2026_accessibility&amp;utm_content=d02</x:v>
      </x:c>
      <x:c r="M32" s="15" t="str">
        <x:v>3 Status frames</x:v>
      </x:c>
      <x:c r="N32" s="15" t="str">
        <x:v>FRAME 1
Digital access should work for more people
FRAME 2
Readable content
Clear form labels
Keyboard operation
FRAME 3
Discuss an accessibility assessment. Reply here for details.</x:v>
      </x:c>
      <x:c r="O32" s="15" t="str">
        <x:v>Inclusive 25-second interface demo, no pity imagery. Show labels, focus and readable contrast using sample data. Add captions and a clear limitation: Starting checks, not certification. Split into three phone-first frames, each with one idea.</x:v>
      </x:c>
      <x:c r="P32" s="15" t="str">
        <x:v>1080 × 1920 px</x:v>
      </x:c>
      <x:c r="Q32" s="15" t="str">
        <x:v>Digital access should work for more people. Readable content. Clear form labels. Keyboard operation. Original illustrative graphic by eLan Technology.</x:v>
      </x:c>
      <x:c r="R32" s="15" t="str">
        <x:v>Standard approval No client assets or testimonials. No paid promotion. Test the destination and mobile contact journey.</x:v>
      </x:c>
      <x:c r="S32" s="23" t="str">
        <x:v>☐</x:v>
      </x:c>
      <x:c r="T32" s="23" t="str">
        <x:v>☐</x:v>
      </x:c>
      <x:c r="U32" s="23" t="str">
        <x:v>☐</x:v>
      </x:c>
      <x:c r="V32" s="24"/>
      <x:c r="W32" s="22" t="str"/>
      <x:c r="X32" s="26"/>
      <x:c r="Y32" s="26"/>
      <x:c r="Z32" s="26"/>
      <x:c r="AA32" s="22" t="str"/>
      <x:c r="AB32" s="22" t="str"/>
    </x:row>
    <x:row r="33" ht="260" customHeight="1">
      <x:c r="A33" s="23" t="str">
        <x:v>☐</x:v>
      </x:c>
      <x:c r="B33" s="24" t="n">
        <x:v>46364</x:v>
      </x:c>
      <x:c r="C33" s="25" t="n">
        <x:v>0.4791666666666667</x:v>
      </x:c>
      <x:c r="D33" s="3" t="str">
        <x:v>D03</x:v>
      </x:c>
      <x:c r="E33" s="3" t="str">
        <x:v>Core</x:v>
      </x:c>
      <x:c r="F33" s="22" t="str">
        <x:v>Draft</x:v>
      </x:c>
      <x:c r="G33" s="22" t="str"/>
      <x:c r="H33" s="3" t="str">
        <x:v>Are your business details ready for 2027?</x:v>
      </x:c>
      <x:c r="I33" s="3" t="str">
        <x:v>FRAME 1
Are your business details ready for 2027?
FRAME 2
Check the public phone number
Test the email and contact route
Update service information
FRAME 3
Review your business details. Reply here for details.
Subscription pricing + GST</x:v>
      </x:c>
      <x:c r="J33" s="3" t="str"/>
      <x:c r="K33" s="3" t="str">
        <x:v>Reply to Status</x:v>
      </x:c>
      <x:c r="L33" s="3" t="str">
        <x:v>https://elan-tech.net/contact/?utm_source=whatsapp&amp;utm_medium=social&amp;utm_campaign=q4_2026_digital_card&amp;utm_content=d03</x:v>
      </x:c>
      <x:c r="M33" s="3" t="str">
        <x:v>3 Status frames</x:v>
      </x:c>
      <x:c r="N33" s="3" t="str">
        <x:v>FRAME 1
Are your business details ready for 2027?
FRAME 2
Check the public phone number
Test the email and contact route
Update service information
FRAME 3
Review your business details. Reply here for details.
Subscription pricing + GST</x:v>
      </x:c>
      <x:c r="O33" s="3" t="str">
        <x:v>Five checklist panels with a fictional profile card. Never show the developer contact number or real personal data. No claim that the subscription product is live unless confirmed. Split into three phone-first frames, each with one idea.</x:v>
      </x:c>
      <x:c r="P33" s="3" t="str">
        <x:v>1080 × 1920 px</x:v>
      </x:c>
      <x:c r="Q33" s="3" t="str">
        <x:v>Are your business details ready for 2027?. Check the public phone number. Test the email and contact route. Update service information. Original illustrative graphic by eLan Technology.</x:v>
      </x:c>
      <x:c r="R33" s="3" t="str">
        <x:v>Standard approval No client assets or testimonials. No paid promotion. Test the destination and mobile contact journey.</x:v>
      </x:c>
      <x:c r="S33" s="23" t="str">
        <x:v>☐</x:v>
      </x:c>
      <x:c r="T33" s="23" t="str">
        <x:v>☐</x:v>
      </x:c>
      <x:c r="U33" s="23" t="str">
        <x:v>☐</x:v>
      </x:c>
      <x:c r="V33" s="24"/>
      <x:c r="W33" s="22" t="str"/>
      <x:c r="X33" s="26"/>
      <x:c r="Y33" s="26"/>
      <x:c r="Z33" s="26"/>
      <x:c r="AA33" s="22" t="str"/>
      <x:c r="AB33"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4" ht="260" customHeight="1">
      <x:c r="A34" s="23" t="str">
        <x:v>☐</x:v>
      </x:c>
      <x:c r="B34" s="24" t="n">
        <x:v>46367</x:v>
      </x:c>
      <x:c r="C34" s="25" t="n">
        <x:v>0.4791666666666667</x:v>
      </x:c>
      <x:c r="D34" s="15" t="str">
        <x:v>D04</x:v>
      </x:c>
      <x:c r="E34" s="15" t="str">
        <x:v>Core</x:v>
      </x:c>
      <x:c r="F34" s="22" t="str">
        <x:v>Draft</x:v>
      </x:c>
      <x:c r="G34" s="22" t="str"/>
      <x:c r="H34" s="15" t="str">
        <x:v>Plan your 2027 website before the rush</x:v>
      </x:c>
      <x:c r="I34" s="15" t="str">
        <x:v>FRAME 1
Plan your 2027 website before the rush
FRAME 2
Define the main business goal
List content and integrations
Set a realistic budget
FRAME 3
Request a website planning quote. Reply here for details.</x:v>
      </x:c>
      <x:c r="J34" s="15" t="str"/>
      <x:c r="K34" s="15" t="str">
        <x:v>Reply to Status</x:v>
      </x:c>
      <x:c r="L34" s="15" t="str">
        <x:v>https://elan-tech.net/contact/?utm_source=whatsapp&amp;utm_medium=social&amp;utm_campaign=q4_2026_websites&amp;utm_content=d04</x:v>
      </x:c>
      <x:c r="M34" s="15" t="str">
        <x:v>3 Status frames</x:v>
      </x:c>
      <x:c r="N34" s="15" t="str">
        <x:v>FRAME 1
Plan your 2027 website before the rush
FRAME 2
Define the main business goal
List content and integrations
Set a realistic budget
FRAME 3
Request a website planning quote. Reply here for details.</x:v>
      </x:c>
      <x:c r="O34" s="15" t="str">
        <x:v>Six-slide planning workbook aesthetic, cream and blue with orange tabs. Final slide is an empty original brief template, not a real proposal. Split into three phone-first frames, each with one idea.</x:v>
      </x:c>
      <x:c r="P34" s="15" t="str">
        <x:v>1080 × 1920 px</x:v>
      </x:c>
      <x:c r="Q34" s="15" t="str">
        <x:v>Plan your 2027 website before the rush. Define the main business goal. List content and integrations. Set a realistic budget. Original illustrative graphic by eLan Technology.</x:v>
      </x:c>
      <x:c r="R34" s="15" t="str">
        <x:v>Standard approval No client assets or testimonials. No paid promotion. Test the destination and mobile contact journey.</x:v>
      </x:c>
      <x:c r="S34" s="23" t="str">
        <x:v>☐</x:v>
      </x:c>
      <x:c r="T34" s="23" t="str">
        <x:v>☐</x:v>
      </x:c>
      <x:c r="U34" s="23" t="str">
        <x:v>☐</x:v>
      </x:c>
      <x:c r="V34" s="24"/>
      <x:c r="W34" s="22" t="str"/>
      <x:c r="X34" s="26"/>
      <x:c r="Y34" s="26"/>
      <x:c r="Z34" s="26"/>
      <x:c r="AA34" s="22" t="str"/>
      <x:c r="AB34" s="22" t="str"/>
    </x:row>
    <x:row r="35" ht="260" customHeight="1">
      <x:c r="A35" s="23" t="str">
        <x:v>☐</x:v>
      </x:c>
      <x:c r="B35" s="24" t="n">
        <x:v>46371</x:v>
      </x:c>
      <x:c r="C35" s="25" t="n">
        <x:v>0.4791666666666667</x:v>
      </x:c>
      <x:c r="D35" s="3" t="str">
        <x:v>D05</x:v>
      </x:c>
      <x:c r="E35" s="3" t="str">
        <x:v>Core</x:v>
      </x:c>
      <x:c r="F35" s="22" t="str">
        <x:v>Draft</x:v>
      </x:c>
      <x:c r="G35" s="22" t="str"/>
      <x:c r="H35" s="3" t="str">
        <x:v>A custom commerce workflow, explained simply</x:v>
      </x:c>
      <x:c r="I35" s="3" t="str">
        <x:v>FRAME 1
A custom commerce workflow, explained simply
FRAME 2
Customer browses and orders
Payment status is confirmed
Recurring rules apply if required
FRAME 3
Discuss your commerce workflow. Reply here for details.</x:v>
      </x:c>
      <x:c r="J35" s="3" t="str"/>
      <x:c r="K35" s="3" t="str">
        <x:v>Reply to Status</x:v>
      </x:c>
      <x:c r="L35" s="3" t="str">
        <x:v>https://elan-tech.net/services/ecommerce/?utm_source=whatsapp&amp;utm_medium=social&amp;utm_campaign=q4_2026_commerce&amp;utm_content=d05</x:v>
      </x:c>
      <x:c r="M35" s="3" t="str">
        <x:v>3 Status frames</x:v>
      </x:c>
      <x:c r="N35" s="3" t="str">
        <x:v>FRAME 1
A custom commerce workflow, explained simply
FRAME 2
Customer browses and orders
Payment status is confirmed
Recurring rules apply if required
FRAME 3
Discuss your commerce workflow. Reply here for details.</x:v>
      </x:c>
      <x:c r="O35" s="3" t="str">
        <x:v>30-second animated original diagram, storefront to payments to fulfilment with a support loop. Label Illustrative workflow. No revenue counter, live payments or client screenshots. Split into three phone-first frames, each with one idea.</x:v>
      </x:c>
      <x:c r="P35" s="3" t="str">
        <x:v>1080 × 1920 px</x:v>
      </x:c>
      <x:c r="Q35" s="3" t="str">
        <x:v>A custom commerce workflow, explained simply. Customer browses and orders. Payment status is confirmed. Recurring rules apply if required. Original illustrative graphic by eLan Technology.</x:v>
      </x:c>
      <x:c r="R35" s="3" t="str">
        <x:v>Standard approval No client assets or testimonials. No paid promotion. Test the destination and mobile contact journey.</x:v>
      </x:c>
      <x:c r="S35" s="23" t="str">
        <x:v>☐</x:v>
      </x:c>
      <x:c r="T35" s="23" t="str">
        <x:v>☐</x:v>
      </x:c>
      <x:c r="U35" s="23" t="str">
        <x:v>☐</x:v>
      </x:c>
      <x:c r="V35" s="24"/>
      <x:c r="W35" s="22" t="str"/>
      <x:c r="X35" s="26"/>
      <x:c r="Y35" s="26"/>
      <x:c r="Z35" s="26"/>
      <x:c r="AA35" s="22" t="str"/>
      <x:c r="AB35" s="22" t="str"/>
    </x:row>
    <x:row r="36" ht="260" customHeight="1">
      <x:c r="A36" s="23" t="str">
        <x:v>☐</x:v>
      </x:c>
      <x:c r="B36" s="24" t="n">
        <x:v>46374</x:v>
      </x:c>
      <x:c r="C36" s="25" t="n">
        <x:v>0.4791666666666667</x:v>
      </x:c>
      <x:c r="D36" s="15" t="str">
        <x:v>D06</x:v>
      </x:c>
      <x:c r="E36" s="15" t="str">
        <x:v>Core</x:v>
      </x:c>
      <x:c r="F36" s="22" t="str">
        <x:v>Draft</x:v>
      </x:c>
      <x:c r="G36" s="22" t="str"/>
      <x:c r="H36" s="15" t="str">
        <x:v>Read the subscription details before you choose</x:v>
      </x:c>
      <x:c r="I36" s="15" t="str">
        <x:v>FRAME 1
Read the subscription details before you choose
FRAME 2
What features are included?
How often is the plan billed?
What limits apply?
FRAME 3
Request subscription plan details. Reply here for details.
Subscription pricing + GST</x:v>
      </x:c>
      <x:c r="J36" s="15" t="str"/>
      <x:c r="K36" s="15" t="str">
        <x:v>Reply to Status</x:v>
      </x:c>
      <x:c r="L36" s="15" t="str">
        <x:v>https://elan-tech.net/contact/?utm_source=whatsapp&amp;utm_medium=social&amp;utm_campaign=q4_2026_digital_card&amp;utm_content=d06</x:v>
      </x:c>
      <x:c r="M36" s="15" t="str">
        <x:v>3 Status frames</x:v>
      </x:c>
      <x:c r="N36" s="15" t="str">
        <x:v>FRAME 1
Read the subscription details before you choose
FRAME 2
What features are included?
How often is the plan billed?
What limits apply?
FRAME 3
Request subscription plan details. Reply here for details.
Subscription pricing + GST</x:v>
      </x:c>
      <x:c r="O36" s="15" t="str">
        <x:v>Clean five-panel plan-reading guide. Do not invent a tier, free plan, fee or cancellation promise. Insert actual prices only after approval, always beside + GST. Split into three phone-first frames, each with one idea.</x:v>
      </x:c>
      <x:c r="P36" s="15" t="str">
        <x:v>1080 × 1920 px</x:v>
      </x:c>
      <x:c r="Q36" s="15" t="str">
        <x:v>Read the subscription details before you choose. What features are included?. How often is the plan billed?. What limits apply?. Original illustrative graphic by eLan Technology.</x:v>
      </x:c>
      <x:c r="R36" s="15" t="str">
        <x:v>Approve plan terms before adding prices or purchase link No client assets or testimonials. No paid promotion. Test the destination and mobile contact journey.</x:v>
      </x:c>
      <x:c r="S36" s="23" t="str">
        <x:v>☐</x:v>
      </x:c>
      <x:c r="T36" s="23" t="str">
        <x:v>☐</x:v>
      </x:c>
      <x:c r="U36" s="23" t="str">
        <x:v>☐</x:v>
      </x:c>
      <x:c r="V36" s="24"/>
      <x:c r="W36" s="22" t="str"/>
      <x:c r="X36" s="26"/>
      <x:c r="Y36" s="26"/>
      <x:c r="Z36" s="26"/>
      <x:c r="AA36" s="22" t="str"/>
      <x:c r="AB36" s="22" t="str">
        <x:v>Check the details before sharing your business profile
Before sharing your business profile, check the contact details, service description and links on a phone. Keep the information consistent with your website. We are preparing our digital business card and will share verified product details when ready. Message us if you would like an update.</x:v>
      </x:c>
    </x:row>
    <x:row r="37" ht="260" customHeight="1">
      <x:c r="A37" s="23" t="str">
        <x:v>☐</x:v>
      </x:c>
      <x:c r="B37" s="24" t="n">
        <x:v>46378</x:v>
      </x:c>
      <x:c r="C37" s="25" t="n">
        <x:v>0.4791666666666667</x:v>
      </x:c>
      <x:c r="D37" s="3" t="str">
        <x:v>D07</x:v>
      </x:c>
      <x:c r="E37" s="3" t="str">
        <x:v>Core</x:v>
      </x:c>
      <x:c r="F37" s="22" t="str">
        <x:v>Draft</x:v>
      </x:c>
      <x:c r="G37" s="22" t="str"/>
      <x:c r="H37" s="3" t="str">
        <x:v>Small website details worth getting right</x:v>
      </x:c>
      <x:c r="I37" s="3" t="str">
        <x:v>FRAME 1
Small website details worth getting right
FRAME 2
Read the text on a phone
Use the mobile menu
Check product and service details
FRAME 3
Discuss website improvements. Reply here for details.</x:v>
      </x:c>
      <x:c r="J37" s="3" t="str"/>
      <x:c r="K37" s="3" t="str">
        <x:v>Reply to Status</x:v>
      </x:c>
      <x:c r="L37" s="3" t="str">
        <x:v>https://elan-tech.net/contact/?utm_source=whatsapp&amp;utm_medium=social&amp;utm_campaign=q4_2026_websites&amp;utm_content=d07</x:v>
      </x:c>
      <x:c r="M37" s="3" t="str">
        <x:v>3 Status frames</x:v>
      </x:c>
      <x:c r="N37" s="3" t="str">
        <x:v>FRAME 1
Small website details worth getting right
FRAME 2
Read the text on a phone
Use the mobile menu
Check product and service details
FRAME 3
Discuss website improvements. Reply here for details.</x:v>
      </x:c>
      <x:c r="O37" s="3" t="str">
        <x:v>Six short original demo clips or six-slide carousel. One detail per frame, blue base with teal accents. No portfolio montage or client logos. Split into three phone-first frames, each with one idea.</x:v>
      </x:c>
      <x:c r="P37" s="3" t="str">
        <x:v>1080 × 1920 px</x:v>
      </x:c>
      <x:c r="Q37" s="3" t="str">
        <x:v>Small website details worth getting right. Read the text on a phone. Use the mobile menu. Check product and service details. Original illustrative graphic by eLan Technology.</x:v>
      </x:c>
      <x:c r="R37" s="3" t="str">
        <x:v>Standard approval No client assets or testimonials. No paid promotion. Test the destination and mobile contact journey.</x:v>
      </x:c>
      <x:c r="S37" s="23" t="str">
        <x:v>☐</x:v>
      </x:c>
      <x:c r="T37" s="23" t="str">
        <x:v>☐</x:v>
      </x:c>
      <x:c r="U37" s="23" t="str">
        <x:v>☐</x:v>
      </x:c>
      <x:c r="V37" s="24"/>
      <x:c r="W37" s="22" t="str"/>
      <x:c r="X37" s="26"/>
      <x:c r="Y37" s="26"/>
      <x:c r="Z37" s="26"/>
      <x:c r="AA37" s="22" t="str"/>
      <x:c r="AB37" s="22" t="str"/>
    </x:row>
    <x:row r="38" ht="260" customHeight="1">
      <x:c r="A38" s="23" t="str">
        <x:v>☐</x:v>
      </x:c>
      <x:c r="B38" s="24" t="n">
        <x:v>46381</x:v>
      </x:c>
      <x:c r="C38" s="25" t="n">
        <x:v>0.4791666666666667</x:v>
      </x:c>
      <x:c r="D38" s="15" t="str">
        <x:v>D08</x:v>
      </x:c>
      <x:c r="E38" s="15" t="str">
        <x:v>Core</x:v>
      </x:c>
      <x:c r="F38" s="22" t="str">
        <x:v>Draft</x:v>
      </x:c>
      <x:c r="G38" s="22" t="str"/>
      <x:c r="H38" s="15" t="str">
        <x:v>Wishing you a warm and peaceful Christmas</x:v>
      </x:c>
      <x:c r="I38" s="15" t="str">
        <x:v>FRAME 1
Wishing you a warm and peaceful Christmas
FRAME 2
Merry Christmas
Warm wishes from eLan Technology
Wishing you a peaceful holiday season
FRAME 3
Warm wishes from eLan Technology.</x:v>
      </x:c>
      <x:c r="J38" s="15" t="str"/>
      <x:c r="K38" s="15" t="str">
        <x:v>No sales CTA</x:v>
      </x:c>
      <x:c r="L38" s="15" t="str"/>
      <x:c r="M38" s="15" t="str">
        <x:v>3 Status frames</x:v>
      </x:c>
      <x:c r="N38" s="15" t="str">
        <x:v>FRAME 1
Wishing you a warm and peaceful Christmas
FRAME 2
Merry Christmas
Warm wishes from eLan Technology
Wishing you a peaceful holiday season
FRAME 3
Warm wishes from eLan Technology.</x:v>
      </x:c>
      <x:c r="O38" s="15" t="str">
        <x:v>Bright cream card, fine blue line illustration of a tree with a small orange star. Minimal five-second animation optional. No price, sale, client assets or CTA. Split into three phone-first frames, each with one idea.</x:v>
      </x:c>
      <x:c r="P38" s="15" t="str">
        <x:v>1080 × 1920 px</x:v>
      </x:c>
      <x:c r="Q38" s="15" t="str">
        <x:v>Wishing you a warm and peaceful Christmas. Merry Christmas. Warm wishes from eLan Technology. Wishing you a peaceful holiday season. Original illustrative graphic by eLan Technology.</x:v>
      </x:c>
      <x:c r="R38" s="15" t="str">
        <x:v>Standard approval No client assets or testimonials. No paid promotion. Test the destination and mobile contact journey.</x:v>
      </x:c>
      <x:c r="S38" s="23" t="str">
        <x:v>☐</x:v>
      </x:c>
      <x:c r="T38" s="23" t="str">
        <x:v>☐</x:v>
      </x:c>
      <x:c r="U38" s="23" t="str">
        <x:v>☐</x:v>
      </x:c>
      <x:c r="V38" s="24"/>
      <x:c r="W38" s="22" t="str"/>
      <x:c r="X38" s="26"/>
      <x:c r="Y38" s="26"/>
      <x:c r="Z38" s="26"/>
      <x:c r="AA38" s="22" t="str"/>
      <x:c r="AB38" s="22" t="str"/>
    </x:row>
    <x:row r="39" ht="260" customHeight="1">
      <x:c r="A39" s="23" t="str">
        <x:v>☐</x:v>
      </x:c>
      <x:c r="B39" s="24" t="n">
        <x:v>46385</x:v>
      </x:c>
      <x:c r="C39" s="25" t="n">
        <x:v>0.4791666666666667</x:v>
      </x:c>
      <x:c r="D39" s="3" t="str">
        <x:v>D09</x:v>
      </x:c>
      <x:c r="E39" s="3" t="str">
        <x:v>Core</x:v>
      </x:c>
      <x:c r="F39" s="22" t="str">
        <x:v>Draft</x:v>
      </x:c>
      <x:c r="G39" s="22" t="str"/>
      <x:c r="H39" s="3" t="str">
        <x:v>What should work better for your business next year?</x:v>
      </x:c>
      <x:c r="I39" s="3" t="str">
        <x:v>FRAME 1
What should work better for your business next year?
FRAME 2
Make introductions easier
Explain services more clearly
Improve the shopping journey
FRAME 3
Tell us your 2027 priority. Reply here for details.</x:v>
      </x:c>
      <x:c r="J39" s="3" t="str"/>
      <x:c r="K39" s="3" t="str">
        <x:v>Reply to Status</x:v>
      </x:c>
      <x:c r="L39" s="3" t="str">
        <x:v>https://elan-tech.net/contact/?utm_source=whatsapp&amp;utm_medium=social&amp;utm_campaign=q4_2026_websites&amp;utm_content=d09</x:v>
      </x:c>
      <x:c r="M39" s="3" t="str">
        <x:v>3 Status frames</x:v>
      </x:c>
      <x:c r="N39" s="3" t="str">
        <x:v>FRAME 1
What should work better for your business next year?
FRAME 2
Make introductions easier
Explain services more clearly
Improve the shopping journey
FRAME 3
Tell us your 2027 priority. Reply here for details.</x:v>
      </x:c>
      <x:c r="O39" s="3" t="str">
        <x:v>Three distinct rectangular panels: introduction, business website, commerce. Original icons and sample layouts. Keep subscription product and development services separate. Split into three phone-first frames, each with one idea.</x:v>
      </x:c>
      <x:c r="P39" s="3" t="str">
        <x:v>1080 × 1920 px</x:v>
      </x:c>
      <x:c r="Q39" s="3" t="str">
        <x:v>What should work better for your business next year?. Make introductions easier. Explain services more clearly. Improve the shopping journey. Original illustrative graphic by eLan Technology.</x:v>
      </x:c>
      <x:c r="R39" s="3" t="str">
        <x:v>Standard approval No client assets or testimonials. No paid promotion. Test the destination and mobile contact journey.</x:v>
      </x:c>
      <x:c r="S39" s="23" t="str">
        <x:v>☐</x:v>
      </x:c>
      <x:c r="T39" s="23" t="str">
        <x:v>☐</x:v>
      </x:c>
      <x:c r="U39" s="23" t="str">
        <x:v>☐</x:v>
      </x:c>
      <x:c r="V39" s="24"/>
      <x:c r="W39" s="22" t="str"/>
      <x:c r="X39" s="26"/>
      <x:c r="Y39" s="26"/>
      <x:c r="Z39" s="26"/>
      <x:c r="AA39" s="22" t="str"/>
      <x:c r="AB39" s="22" t="str"/>
    </x:row>
    <x:row r="40" ht="260" customHeight="1">
      <x:c r="A40" s="23" t="str">
        <x:v>☐</x:v>
      </x:c>
      <x:c r="B40" s="24" t="n">
        <x:v>46387</x:v>
      </x:c>
      <x:c r="C40" s="25" t="n">
        <x:v>0.4791666666666667</x:v>
      </x:c>
      <x:c r="D40" s="15" t="str">
        <x:v>D10</x:v>
      </x:c>
      <x:c r="E40" s="15" t="str">
        <x:v>Core</x:v>
      </x:c>
      <x:c r="F40" s="22" t="str">
        <x:v>Draft</x:v>
      </x:c>
      <x:c r="G40" s="22" t="str"/>
      <x:c r="H40" s="15" t="str">
        <x:v>Thank you for being part of our year</x:v>
      </x:c>
      <x:c r="I40" s="15" t="str">
        <x:v>FRAME 1
Thank you for being part of our year
FRAME 2
Thank you for being part of our year
Here is to thoughtful work and clear communication
Wishing you a happy 2027
FRAME 3
Warm wishes from eLan Technology.</x:v>
      </x:c>
      <x:c r="J40" s="15" t="str"/>
      <x:c r="K40" s="15" t="str">
        <x:v>No sales CTA</x:v>
      </x:c>
      <x:c r="L40" s="15" t="str"/>
      <x:c r="M40" s="15" t="str">
        <x:v>3 Status frames</x:v>
      </x:c>
      <x:c r="N40" s="15" t="str">
        <x:v>FRAME 1
Thank you for being part of our year
FRAME 2
Thank you for being part of our year
Here is to thoughtful work and clear communication
Wishing you a happy 2027
FRAME 3
Warm wishes from eLan Technology.</x:v>
      </x:c>
      <x:c r="O40" s="15" t="str">
        <x:v>20-second genuine founder thank-you, or a clean typographic animation. No client montage, invented annual totals or unapproved team claims. Split into three phone-first frames, each with one idea.</x:v>
      </x:c>
      <x:c r="P40" s="15" t="str">
        <x:v>1080 × 1920 px</x:v>
      </x:c>
      <x:c r="Q40" s="15" t="str">
        <x:v>Thank you for being part of our year. Thank you for being part of our year. Here is to thoughtful work and clear communication. Wishing you a happy 2027. Original illustrative graphic by eLan Technology.</x:v>
      </x:c>
      <x:c r="R40" s="15" t="str">
        <x:v>Standard approval No client assets or testimonials. No paid promotion. Test the destination and mobile contact journey.</x:v>
      </x:c>
      <x:c r="S40" s="23" t="str">
        <x:v>☐</x:v>
      </x:c>
      <x:c r="T40" s="23" t="str">
        <x:v>☐</x:v>
      </x:c>
      <x:c r="U40" s="23" t="str">
        <x:v>☐</x:v>
      </x:c>
      <x:c r="V40" s="24"/>
      <x:c r="W40" s="22" t="str"/>
      <x:c r="X40" s="26"/>
      <x:c r="Y40" s="26"/>
      <x:c r="Z40" s="26"/>
      <x:c r="AA40" s="22" t="str"/>
      <x:c r="AB40" s="22" t="str"/>
    </x:row>
  </x:sheetData>
  <x:conditionalFormatting sqref="A6:A40">
    <x:cfRule type="cellIs" dxfId="10" priority="1" operator="equal">
      <x:formula>"✓"</x:formula>
    </x:cfRule>
  </x:conditionalFormatting>
  <x:conditionalFormatting sqref="S6:U40">
    <x:cfRule type="cellIs" dxfId="11" priority="2" operator="equal">
      <x:formula>"✓"</x:formula>
    </x:cfRule>
  </x:conditionalFormatting>
  <x:dataValidations count="4">
    <x:dataValidation type="list" sqref="A6:A40">
      <x:formula1>"☐,✓,N/A"</x:formula1>
    </x:dataValidation>
    <x:dataValidation type="list" sqref="S6:U40">
      <x:formula1>"☐,✓"</x:formula1>
    </x:dataValidation>
    <x:dataValidation type="list" sqref="F6:F40">
      <x:formula1>"Draft,In production,Ready,Scheduled,Published,Hold,Skipped"</x:formula1>
    </x:dataValidation>
    <x:dataValidation type="list" sqref="E6:E40">
      <x:formula1>"Core,Conditional,Optional"</x:formula1>
    </x:dataValidation>
  </x:dataValidations>
  <x:pageMargins left="0.7" right="0.7" top="0.75" bottom="0.75" header="0.3" footer="0.3"/>
  <x:tableParts count="1">
    <x:tablePart xmlns:r="http://schemas.openxmlformats.org/officeDocument/2006/relationships" r:id="Ra1e1e6787c9f4e86"/>
  </x:tableParts>
</x:worksheet>
</file>

<file path=xl/worksheets/sheet8.xml><?xml version="1.0" encoding="utf-8"?>
<x:worksheet xmlns:x="http://schemas.openxmlformats.org/spreadsheetml/2006/main">
  <x:sheetPr>
    <x:tabColor rgb="FF173C65"/>
  </x:sheetPr>
  <x:sheetViews>
    <x:sheetView showGridLines="0" workbookViewId="0">
      <x:pane xSplit="4" ySplit="5" topLeftCell="E6" activePane="bottomRight" state="frozen"/>
    </x:sheetView>
  </x:sheetViews>
  <x:sheetFormatPr defaultRowHeight="15"/>
  <x:cols>
    <x:col min="1" max="1" width="12" hidden="0" customWidth="1"/>
    <x:col min="2" max="2" width="15" hidden="0" customWidth="1"/>
    <x:col min="3" max="3" width="12" hidden="0" customWidth="1"/>
    <x:col min="4" max="4" width="13" hidden="0" customWidth="1"/>
    <x:col min="5" max="5" width="15" hidden="0" customWidth="1"/>
    <x:col min="6" max="6" width="37" hidden="0" customWidth="1"/>
    <x:col min="7" max="7" width="85" hidden="0" customWidth="1"/>
    <x:col min="8" max="8" width="64" hidden="0" customWidth="1"/>
    <x:col min="9" max="9" width="65" hidden="0" customWidth="1"/>
    <x:col min="10" max="10" width="48" hidden="0" customWidth="1"/>
    <x:col min="11" max="11" width="15" hidden="0" customWidth="1"/>
    <x:col min="12" max="12" width="15" hidden="0" customWidth="1"/>
    <x:col min="13" max="13" width="15" hidden="0" customWidth="1"/>
    <x:col min="14" max="14" width="18" hidden="0" customWidth="1"/>
    <x:col min="15" max="15" width="16" hidden="0" customWidth="1"/>
    <x:col min="16" max="16" width="40" hidden="0" customWidth="1"/>
    <x:col min="17" max="17" width="40" hidden="0" customWidth="1"/>
  </x:cols>
  <x:sheetData>
    <x:row r="1" ht="28" customHeight="1">
      <x:c r="A1" s="5" t="str">
        <x:v>WhatsApp group and individual messages</x:v>
      </x:c>
      <x:c r="B1" s="3"/>
      <x:c r="C1" s="3"/>
      <x:c r="D1" s="3"/>
      <x:c r="E1" s="3"/>
      <x:c r="F1" s="3"/>
      <x:c r="G1" s="3"/>
      <x:c r="H1" s="3"/>
      <x:c r="I1" s="3"/>
      <x:c r="J1" s="3"/>
      <x:c r="K1" s="3"/>
      <x:c r="L1" s="3"/>
      <x:c r="M1" s="3"/>
      <x:c r="N1" s="3"/>
      <x:c r="O1" s="3"/>
      <x:c r="P1" s="3"/>
      <x:c r="Q1" s="3"/>
    </x:row>
    <x:row r="2" ht="22" customHeight="1">
      <x:c r="A2" s="7" t="str">
        <x:v>14 permission-based tasks. A tick means sent to the approved audience, not a sale. Launch and pilot messages remain conditional.</x:v>
      </x:c>
      <x:c r="B2" s="3"/>
      <x:c r="C2" s="3"/>
      <x:c r="D2" s="3"/>
      <x:c r="E2" s="3"/>
      <x:c r="F2" s="3"/>
      <x:c r="G2" s="3"/>
      <x:c r="H2" s="3"/>
      <x:c r="I2" s="3"/>
      <x:c r="J2" s="3"/>
      <x:c r="K2" s="3"/>
      <x:c r="L2" s="3"/>
      <x:c r="M2" s="3"/>
      <x:c r="N2" s="3"/>
      <x:c r="O2" s="3"/>
      <x:c r="P2" s="3"/>
      <x:c r="Q2" s="3"/>
    </x:row>
    <x:row r="3">
      <x:c r="A3" s="8"/>
      <x:c r="B3" s="8"/>
      <x:c r="C3" s="8"/>
      <x:c r="D3" s="8"/>
      <x:c r="E3" s="8"/>
      <x:c r="F3" s="8"/>
      <x:c r="G3" s="8"/>
      <x:c r="H3" s="8"/>
      <x:c r="I3" s="8"/>
      <x:c r="J3" s="8"/>
      <x:c r="K3" s="8"/>
      <x:c r="L3" s="8"/>
      <x:c r="M3" s="8"/>
      <x:c r="N3" s="8"/>
      <x:c r="O3" s="8"/>
      <x:c r="P3" s="8"/>
      <x:c r="Q3" s="8"/>
    </x:row>
    <x:row r="4">
      <x:c r="A4" s="3"/>
      <x:c r="B4" s="3"/>
      <x:c r="C4" s="3"/>
      <x:c r="D4" s="3"/>
      <x:c r="E4" s="3"/>
      <x:c r="F4" s="3"/>
      <x:c r="G4" s="3"/>
      <x:c r="H4" s="3"/>
      <x:c r="I4" s="3"/>
      <x:c r="J4" s="3"/>
      <x:c r="K4" s="3"/>
      <x:c r="L4" s="3"/>
      <x:c r="M4" s="3"/>
      <x:c r="N4" s="3"/>
      <x:c r="O4" s="3"/>
      <x:c r="P4" s="3"/>
      <x:c r="Q4" s="3"/>
    </x:row>
    <x:row r="5" ht="36" customHeight="1">
      <x:c r="A5" s="12" t="str">
        <x:v>Sent</x:v>
      </x:c>
      <x:c r="B5" s="13" t="str">
        <x:v>Planned date</x:v>
      </x:c>
      <x:c r="C5" s="13" t="str">
        <x:v>Time IST</x:v>
      </x:c>
      <x:c r="D5" s="13" t="str">
        <x:v>Task ID</x:v>
      </x:c>
      <x:c r="E5" s="13" t="str">
        <x:v>Audience</x:v>
      </x:c>
      <x:c r="F5" s="13" t="str">
        <x:v>Subject / topic</x:v>
      </x:c>
      <x:c r="G5" s="13" t="str">
        <x:v>Complete message</x:v>
      </x:c>
      <x:c r="H5" s="13" t="str">
        <x:v>Permission / release check</x:v>
      </x:c>
      <x:c r="I5" s="13" t="str">
        <x:v>Suggested attachment</x:v>
      </x:c>
      <x:c r="J5" s="13" t="str">
        <x:v>Destination URL</x:v>
      </x:c>
      <x:c r="K5" s="13" t="str">
        <x:v>Consent checked</x:v>
      </x:c>
      <x:c r="L5" s="13" t="str">
        <x:v>Copy approved</x:v>
      </x:c>
      <x:c r="M5" s="13" t="str">
        <x:v>Link tested</x:v>
      </x:c>
      <x:c r="N5" s="13" t="str">
        <x:v>Owner</x:v>
      </x:c>
      <x:c r="O5" s="13" t="str">
        <x:v>Actual sent date</x:v>
      </x:c>
      <x:c r="P5" s="13" t="str">
        <x:v>Outcome notes</x:v>
      </x:c>
      <x:c r="Q5" s="14" t="str">
        <x:v>Follow-up notes</x:v>
      </x:c>
    </x:row>
    <x:row r="6" ht="225" customHeight="1">
      <x:c r="A6" s="23" t="str">
        <x:v>☐</x:v>
      </x:c>
      <x:c r="B6" s="17" t="n">
        <x:v>46279</x:v>
      </x:c>
      <x:c r="C6" s="19" t="n">
        <x:v>0.4583333333333333</x:v>
      </x:c>
      <x:c r="D6" s="3" t="str">
        <x:v>S02-G</x:v>
      </x:c>
      <x:c r="E6" s="3" t="str">
        <x:v>Group</x:v>
      </x:c>
      <x:c r="F6" s="3" t="str">
        <x:v>Digital Launchpad is open: ₹32,000 + GST</x:v>
      </x:c>
      <x:c r="G6" s="3" t="str">
        <x:v>Ready to plan your business website? Digital Launchpad bookings are now open at ₹32,000 + GST until 25 September 2026. Tell us what your business does and what your website needs to help customers do. We will share the package scope and booking terms so you can decide if it is the right fit.
Request this offer. Please message us privately if relevant.</x:v>
      </x:c>
      <x:c r="H6" s="3" t="str">
        <x:v>Only relevant groups whose rules/admin allow this post. Never message every group by default.</x:v>
      </x:c>
      <x:c r="I6" s="3" t="str">
        <x:v>Price-led poster with a clean rectangular sample browser. Large ₹32,000, visible + GST beside it, booking dates below. Avoid a long feature list until inclusions are approved.</x:v>
      </x:c>
      <x:c r="J6" s="3" t="str">
        <x:v>https://elan-tech.net/pricing/digital-launchpad/?utm_source=whatsapp&amp;utm_medium=social&amp;utm_campaign=q4_2026_launchpad&amp;utm_content=s02</x:v>
      </x:c>
      <x:c r="K6" s="23" t="str">
        <x:v>☐</x:v>
      </x:c>
      <x:c r="L6" s="23" t="str">
        <x:v>☐</x:v>
      </x:c>
      <x:c r="M6" s="23" t="str">
        <x:v>☐</x:v>
      </x:c>
      <x:c r="N6" s="3" t="str"/>
      <x:c r="O6" s="17"/>
      <x:c r="P6" s="3" t="str"/>
      <x:c r="Q6" s="3" t="str"/>
    </x:row>
    <x:row r="7" ht="225" customHeight="1">
      <x:c r="A7" s="23" t="str">
        <x:v>☐</x:v>
      </x:c>
      <x:c r="B7" s="17" t="n">
        <x:v>46279</x:v>
      </x:c>
      <x:c r="C7" s="19" t="n">
        <x:v>0.4583333333333333</x:v>
      </x:c>
      <x:c r="D7" s="3" t="str">
        <x:v>S02-I</x:v>
      </x:c>
      <x:c r="E7" s="3" t="str">
        <x:v>Individual</x:v>
      </x:c>
      <x:c r="F7" s="3" t="str">
        <x:v>Digital Launchpad is open: ₹32,000 + GST</x:v>
      </x:c>
      <x:c r="G7" s="3" t="str">
        <x:v>Hi [Name], you asked to hear about our website offer. Digital Launchpad is open from 14 to 25 September 2026 at ₹32,000 + GST. Would you like the written scope and booking terms? No obligation. Please let me know if you would prefer no more offer updates.</x:v>
      </x:c>
      <x:c r="H7" s="3" t="str">
        <x:v>Only contacts who requested or agreed to this update. Respect opt-outs. No client list import or personal data in this workbook.</x:v>
      </x:c>
      <x:c r="I7" s="3" t="str">
        <x:v>Price-led poster with a clean rectangular sample browser. Large ₹32,000, visible + GST beside it, booking dates below. Avoid a long feature list until inclusions are approved.</x:v>
      </x:c>
      <x:c r="J7" s="3" t="str">
        <x:v>https://elan-tech.net/pricing/digital-launchpad/?utm_source=whatsapp&amp;utm_medium=social&amp;utm_campaign=q4_2026_launchpad&amp;utm_content=s02</x:v>
      </x:c>
      <x:c r="K7" s="23" t="str">
        <x:v>☐</x:v>
      </x:c>
      <x:c r="L7" s="23" t="str">
        <x:v>☐</x:v>
      </x:c>
      <x:c r="M7" s="23" t="str">
        <x:v>☐</x:v>
      </x:c>
      <x:c r="N7" s="3" t="str"/>
      <x:c r="O7" s="17"/>
      <x:c r="P7" s="3" t="str"/>
      <x:c r="Q7" s="3" t="str"/>
    </x:row>
    <x:row r="8" ht="225" customHeight="1">
      <x:c r="A8" s="23" t="str">
        <x:v>☐</x:v>
      </x:c>
      <x:c r="B8" s="17" t="n">
        <x:v>46286</x:v>
      </x:c>
      <x:c r="C8" s="19" t="n">
        <x:v>0.4583333333333333</x:v>
      </x:c>
      <x:c r="D8" s="3" t="str">
        <x:v>S05-G</x:v>
      </x:c>
      <x:c r="E8" s="3" t="str">
        <x:v>Group</x:v>
      </x:c>
      <x:c r="F8" s="3" t="str">
        <x:v>Five questions before you book a website</x:v>
      </x:c>
      <x:c r="G8" s="3" t="str">
        <x:v>Who supplies the content? How are revisions handled? What renews each year? What will you receive at handover? What affects the delivery date? Save these questions for your next website conversation. Digital Launchpad bookings close on 25 September 2026 at ₹32,000 + GST. Ask us how the written scope addresses your needs.
Discuss your website requirements. Please message us privately if relevant.</x:v>
      </x:c>
      <x:c r="H8" s="3" t="str">
        <x:v>Only relevant groups whose rules/admin allow this post. Never message every group by default.</x:v>
      </x:c>
      <x:c r="I8" s="3" t="str">
        <x:v>Five numbered rectangular question cards, with a sixth closing panel. Blue type on white, restrained orange number blocks. Put the offer only on the closing slide.</x:v>
      </x:c>
      <x:c r="J8" s="3" t="str">
        <x:v>https://elan-tech.net/pricing/digital-launchpad/?utm_source=whatsapp&amp;utm_medium=social&amp;utm_campaign=q4_2026_launchpad&amp;utm_content=s05</x:v>
      </x:c>
      <x:c r="K8" s="23" t="str">
        <x:v>☐</x:v>
      </x:c>
      <x:c r="L8" s="23" t="str">
        <x:v>☐</x:v>
      </x:c>
      <x:c r="M8" s="23" t="str">
        <x:v>☐</x:v>
      </x:c>
      <x:c r="N8" s="3" t="str"/>
      <x:c r="O8" s="17"/>
      <x:c r="P8" s="3" t="str"/>
      <x:c r="Q8" s="3" t="str"/>
    </x:row>
    <x:row r="9" ht="225" customHeight="1">
      <x:c r="A9" s="23" t="str">
        <x:v>☐</x:v>
      </x:c>
      <x:c r="B9" s="17" t="n">
        <x:v>46288</x:v>
      </x:c>
      <x:c r="C9" s="19" t="n">
        <x:v>0.4583333333333333</x:v>
      </x:c>
      <x:c r="D9" s="3" t="str">
        <x:v>S06-I</x:v>
      </x:c>
      <x:c r="E9" s="3" t="str">
        <x:v>Individual</x:v>
      </x:c>
      <x:c r="F9" s="3" t="str">
        <x:v>Your Launchpad questions, answered</x:v>
      </x:c>
      <x:c r="G9" s="3" t="str">
        <x:v>Hi [Name], a quick follow-up on the Digital Launchpad details you requested. Bookings close on 25 September 2026, and the plan is ₹32,000 + GST. Is there anything in the scope you would like us to clarify? If it is not relevant now, that is absolutely fine and I will not keep following up.</x:v>
      </x:c>
      <x:c r="H9" s="3" t="str">
        <x:v>Only contacts who requested or agreed to this update. Respect opt-outs. No client list import or personal data in this workbook.</x:v>
      </x:c>
      <x:c r="I9" s="3" t="str">
        <x:v>Founder video, 25–35 seconds, bright uncluttered setting. Add three question captions and a final date/price card. Say Common questions, not You asked, unless questions were received.</x:v>
      </x:c>
      <x:c r="J9" s="3" t="str">
        <x:v>https://elan-tech.net/pricing/digital-launchpad/?utm_source=whatsapp&amp;utm_medium=social&amp;utm_campaign=q4_2026_launchpad&amp;utm_content=s06</x:v>
      </x:c>
      <x:c r="K9" s="23" t="str">
        <x:v>☐</x:v>
      </x:c>
      <x:c r="L9" s="23" t="str">
        <x:v>☐</x:v>
      </x:c>
      <x:c r="M9" s="23" t="str">
        <x:v>☐</x:v>
      </x:c>
      <x:c r="N9" s="3" t="str"/>
      <x:c r="O9" s="17"/>
      <x:c r="P9" s="3" t="str"/>
      <x:c r="Q9" s="3" t="str"/>
    </x:row>
    <x:row r="10" ht="225" customHeight="1">
      <x:c r="A10" s="23" t="str">
        <x:v>☐</x:v>
      </x:c>
      <x:c r="B10" s="17" t="n">
        <x:v>46308</x:v>
      </x:c>
      <x:c r="C10" s="19" t="n">
        <x:v>0.4583333333333333</x:v>
      </x:c>
      <x:c r="D10" s="3" t="str">
        <x:v>O04-G</x:v>
      </x:c>
      <x:c r="E10" s="3" t="str">
        <x:v>Group</x:v>
      </x:c>
      <x:c r="F10" s="3" t="str">
        <x:v>Help us test a simpler business introduction</x:v>
      </x:c>
      <x:c r="G10" s="3" t="str">
        <x:v>We are inviting expressions of interest for a small digital business card pilot. We want to understand whether the setup and sharing journey is clear. If you would like to take part, message us for the pilot scope and terms. Access is subject to readiness and availability. Subscription prices, when offered, will be quoted + GST.
Ask about the pilot. Please message us privately if relevant.</x:v>
      </x:c>
      <x:c r="H10" s="3" t="str">
        <x:v>Only relevant groups whose rules/admin allow this post. Never message every group by default.</x:v>
      </x:c>
      <x:c r="I10" s="3" t="str">
        <x:v>Three-screen walkthrough with fictional data. Show only working steps. Closing card invites interest, with no free-forever or guaranteed access claim.</x:v>
      </x:c>
      <x:c r="J10" s="3" t="str">
        <x:v>https://elan-tech.net/contact/?utm_source=whatsapp&amp;utm_medium=social&amp;utm_campaign=q4_2026_digital_card&amp;utm_content=o04</x:v>
      </x:c>
      <x:c r="K10" s="23" t="str">
        <x:v>☐</x:v>
      </x:c>
      <x:c r="L10" s="23" t="str">
        <x:v>☐</x:v>
      </x:c>
      <x:c r="M10" s="23" t="str">
        <x:v>☐</x:v>
      </x:c>
      <x:c r="N10" s="3" t="str"/>
      <x:c r="O10" s="17"/>
      <x:c r="P10" s="3" t="str"/>
      <x:c r="Q10" s="3" t="str"/>
    </x:row>
    <x:row r="11" ht="225" customHeight="1">
      <x:c r="A11" s="23" t="str">
        <x:v>☐</x:v>
      </x:c>
      <x:c r="B11" s="17" t="n">
        <x:v>46308</x:v>
      </x:c>
      <x:c r="C11" s="19" t="n">
        <x:v>0.4583333333333333</x:v>
      </x:c>
      <x:c r="D11" s="3" t="str">
        <x:v>O04-I</x:v>
      </x:c>
      <x:c r="E11" s="3" t="str">
        <x:v>Individual</x:v>
      </x:c>
      <x:c r="F11" s="3" t="str">
        <x:v>Help us test a simpler business introduction</x:v>
      </x:c>
      <x:c r="G11" s="3" t="str">
        <x:v>Hi [Name], you expressed interest in our digital business card. We are inviting a small pilot once readiness and terms are confirmed. Would you like the details? We would value honest usability feedback, not a promotional review. Let me know if you prefer no further updates.</x:v>
      </x:c>
      <x:c r="H11" s="3" t="str">
        <x:v>Only contacts who requested or agreed to this update. Respect opt-outs. No client list import or personal data in this workbook.</x:v>
      </x:c>
      <x:c r="I11" s="3" t="str">
        <x:v>Three-screen walkthrough with fictional data. Show only working steps. Closing card invites interest, with no free-forever or guaranteed access claim.</x:v>
      </x:c>
      <x:c r="J11" s="3" t="str">
        <x:v>https://elan-tech.net/contact/?utm_source=whatsapp&amp;utm_medium=social&amp;utm_campaign=q4_2026_digital_card&amp;utm_content=o04</x:v>
      </x:c>
      <x:c r="K11" s="23" t="str">
        <x:v>☐</x:v>
      </x:c>
      <x:c r="L11" s="23" t="str">
        <x:v>☐</x:v>
      </x:c>
      <x:c r="M11" s="23" t="str">
        <x:v>☐</x:v>
      </x:c>
      <x:c r="N11" s="3" t="str"/>
      <x:c r="O11" s="17"/>
      <x:c r="P11" s="3" t="str"/>
      <x:c r="Q11" s="3" t="str"/>
    </x:row>
    <x:row r="12" ht="225" customHeight="1">
      <x:c r="A12" s="23" t="str">
        <x:v>☐</x:v>
      </x:c>
      <x:c r="B12" s="17" t="n">
        <x:v>46315</x:v>
      </x:c>
      <x:c r="C12" s="19" t="n">
        <x:v>0.4583333333333333</x:v>
      </x:c>
      <x:c r="D12" s="3" t="str">
        <x:v>O06-G</x:v>
      </x:c>
      <x:c r="E12" s="3" t="str">
        <x:v>Group</x:v>
      </x:c>
      <x:c r="F12" s="3" t="str">
        <x:v>Shopify, WooCommerce or Medusa.js?</x:v>
      </x:c>
      <x:c r="G12" s="3" t="str">
        <x:v>The best starting point is what your business needs to do. Shopify offers a managed commerce platform. WooCommerce fits a WordPress-based store. Medusa.js is worth exploring when custom commerce workflows need more development control. Compare maintenance, integrations and total running costs as well as design. Tell us your requirements and we will discuss the fit.
Discuss your eCommerce requirements. Please message us privately if relevant.</x:v>
      </x:c>
      <x:c r="H12" s="3" t="str">
        <x:v>Only relevant groups whose rules/admin allow this post. Never message every group by default.</x:v>
      </x:c>
      <x:c r="I12" s="3" t="str">
        <x:v>Three equal rectangular cards in green, purple and indigo. No winner badge. Final comparison slide lists operations, integrations and maintenance. Keep names as text unless approved logos are available.</x:v>
      </x:c>
      <x:c r="J12" s="3" t="str">
        <x:v>https://elan-tech.net/services/ecommerce/?utm_source=whatsapp&amp;utm_medium=social&amp;utm_campaign=q4_2026_commerce&amp;utm_content=o06</x:v>
      </x:c>
      <x:c r="K12" s="23" t="str">
        <x:v>☐</x:v>
      </x:c>
      <x:c r="L12" s="23" t="str">
        <x:v>☐</x:v>
      </x:c>
      <x:c r="M12" s="23" t="str">
        <x:v>☐</x:v>
      </x:c>
      <x:c r="N12" s="3" t="str"/>
      <x:c r="O12" s="17"/>
      <x:c r="P12" s="3" t="str"/>
      <x:c r="Q12" s="3" t="str"/>
    </x:row>
    <x:row r="13" ht="225" customHeight="1">
      <x:c r="A13" s="23" t="str">
        <x:v>☐</x:v>
      </x:c>
      <x:c r="B13" s="17" t="n">
        <x:v>46336</x:v>
      </x:c>
      <x:c r="C13" s="19" t="n">
        <x:v>0.4583333333333333</x:v>
      </x:c>
      <x:c r="D13" s="3" t="str">
        <x:v>N03-G</x:v>
      </x:c>
      <x:c r="E13" s="3" t="str">
        <x:v>Group</x:v>
      </x:c>
      <x:c r="F13" s="3" t="str">
        <x:v>Meet our digital business card</x:v>
      </x:c>
      <x:c r="G13" s="3" t="str">
        <x:v>Our digital business card subscription is now available. View the demo to see whether it suits the way you introduce your business. Review the plan features, billing interval and renewal terms before subscribing. Prices are quoted + GST. Message us for the verified demo and plan details.
View the demo and plans. Please message us privately if relevant.</x:v>
      </x:c>
      <x:c r="H13" s="3" t="str">
        <x:v>Only relevant groups whose rules/admin allow this post. Never message every group by default.</x:v>
      </x:c>
      <x:c r="I13" s="3" t="str">
        <x:v>40-second real product demo after launch approval: 0–5s introduction, 5–20s profile and two verified actions, 20–30s plans, 30–40s terms and link. Use final branding only.</x:v>
      </x:c>
      <x:c r="J13" s="3" t="str"/>
      <x:c r="K13" s="23" t="str">
        <x:v>☐</x:v>
      </x:c>
      <x:c r="L13" s="23" t="str">
        <x:v>☐</x:v>
      </x:c>
      <x:c r="M13" s="23" t="str">
        <x:v>☐</x:v>
      </x:c>
      <x:c r="N13" s="3" t="str"/>
      <x:c r="O13" s="17"/>
      <x:c r="P13" s="3" t="str"/>
      <x:c r="Q13" s="3" t="str"/>
    </x:row>
    <x:row r="14" ht="225" customHeight="1">
      <x:c r="A14" s="23" t="str">
        <x:v>☐</x:v>
      </x:c>
      <x:c r="B14" s="17" t="n">
        <x:v>46336</x:v>
      </x:c>
      <x:c r="C14" s="19" t="n">
        <x:v>0.4583333333333333</x:v>
      </x:c>
      <x:c r="D14" s="3" t="str">
        <x:v>N03-I</x:v>
      </x:c>
      <x:c r="E14" s="3" t="str">
        <x:v>Individual</x:v>
      </x:c>
      <x:c r="F14" s="3" t="str">
        <x:v>Meet our digital business card</x:v>
      </x:c>
      <x:c r="G14" s="3" t="str">
        <x:v>Hi [Name], you asked for a launch update. Our digital business card is now available. Would you like the verified demo and plan details? Subscription prices are + GST, and plan limits, renewal and cancellation terms should be reviewed before subscribing. Please tell me if you prefer no further product messages.</x:v>
      </x:c>
      <x:c r="H14" s="3" t="str">
        <x:v>Only contacts who requested or agreed to this update. Respect opt-outs. No client list import or personal data in this workbook.</x:v>
      </x:c>
      <x:c r="I14" s="3" t="str">
        <x:v>40-second real product demo after launch approval: 0–5s introduction, 5–20s profile and two verified actions, 20–30s plans, 30–40s terms and link. Use final branding only.</x:v>
      </x:c>
      <x:c r="J14" s="3" t="str"/>
      <x:c r="K14" s="23" t="str">
        <x:v>☐</x:v>
      </x:c>
      <x:c r="L14" s="23" t="str">
        <x:v>☐</x:v>
      </x:c>
      <x:c r="M14" s="23" t="str">
        <x:v>☐</x:v>
      </x:c>
      <x:c r="N14" s="3" t="str"/>
      <x:c r="O14" s="17"/>
      <x:c r="P14" s="3" t="str"/>
      <x:c r="Q14" s="3" t="str"/>
    </x:row>
    <x:row r="15" ht="225" customHeight="1">
      <x:c r="A15" s="23" t="str">
        <x:v>☐</x:v>
      </x:c>
      <x:c r="B15" s="17" t="n">
        <x:v>46339</x:v>
      </x:c>
      <x:c r="C15" s="19" t="n">
        <x:v>0.4583333333333333</x:v>
      </x:c>
      <x:c r="D15" s="3" t="str">
        <x:v>N04-I</x:v>
      </x:c>
      <x:c r="E15" s="3" t="str">
        <x:v>Individual</x:v>
      </x:c>
      <x:c r="F15" s="3" t="str">
        <x:v>From signup to your first shared card</x:v>
      </x:c>
      <x:c r="G15" s="3" t="str">
        <x:v>Hi [Name], you asked for help getting started with the digital card. Start by checking your business details, preview the card on a phone, and test the links before sharing. Would a walkthrough help? Your selected plan and its billing terms apply, with prices quoted + GST.</x:v>
      </x:c>
      <x:c r="H15" s="3" t="str">
        <x:v>Only contacts who requested or agreed to this update. Respect opt-outs. No client list import or personal data in this workbook.</x:v>
      </x:c>
      <x:c r="I15" s="3" t="str">
        <x:v>Captioned real onboarding recording using a fictional test identity. Match every step to the released product. No promise of completion in a fixed number of minutes.</x:v>
      </x:c>
      <x:c r="J15" s="3" t="str"/>
      <x:c r="K15" s="23" t="str">
        <x:v>☐</x:v>
      </x:c>
      <x:c r="L15" s="23" t="str">
        <x:v>☐</x:v>
      </x:c>
      <x:c r="M15" s="23" t="str">
        <x:v>☐</x:v>
      </x:c>
      <x:c r="N15" s="3" t="str"/>
      <x:c r="O15" s="17"/>
      <x:c r="P15" s="3" t="str"/>
      <x:c r="Q15" s="3" t="str"/>
    </x:row>
    <x:row r="16" ht="225" customHeight="1">
      <x:c r="A16" s="23" t="str">
        <x:v>☐</x:v>
      </x:c>
      <x:c r="B16" s="17" t="n">
        <x:v>46350</x:v>
      </x:c>
      <x:c r="C16" s="19" t="n">
        <x:v>0.4583333333333333</x:v>
      </x:c>
      <x:c r="D16" s="3" t="str">
        <x:v>N07-G</x:v>
      </x:c>
      <x:c r="E16" s="3" t="str">
        <x:v>Group</x:v>
      </x:c>
      <x:c r="F16" s="3" t="str">
        <x:v>A portal shaped around your organisation</x:v>
      </x:c>
      <x:c r="G16" s="3" t="str">
        <x:v>A portal should fit the work people need to do. We offer customisable real-estate, medical-conference, IMA society and resort-management platforms. Features can be adapted to the agreed requirements. Source code, ownership, deployment and recurring costs depend on the proposal and payment terms. Tell us which workflow you want to simplify.
Request a portal discussion. Please message us privately if relevant.</x:v>
      </x:c>
      <x:c r="H16" s="3" t="str">
        <x:v>Only relevant groups whose rules/admin allow this post. Never message every group by default.</x:v>
      </x:c>
      <x:c r="I16" s="3" t="str">
        <x:v>Four original workflow tiles with one sample admin diagram. Do not use PropertyCab as the product name. Mark Demonstration. No unlimited licence, ownership or SaaS-free promise.</x:v>
      </x:c>
      <x:c r="J16" s="3" t="str">
        <x:v>https://elan-tech.net/products/?utm_source=whatsapp&amp;utm_medium=social&amp;utm_campaign=q4_2026_portals&amp;utm_content=n07</x:v>
      </x:c>
      <x:c r="K16" s="23" t="str">
        <x:v>☐</x:v>
      </x:c>
      <x:c r="L16" s="23" t="str">
        <x:v>☐</x:v>
      </x:c>
      <x:c r="M16" s="23" t="str">
        <x:v>☐</x:v>
      </x:c>
      <x:c r="N16" s="3" t="str"/>
      <x:c r="O16" s="17"/>
      <x:c r="P16" s="3" t="str"/>
      <x:c r="Q16" s="3" t="str"/>
    </x:row>
    <x:row r="17" ht="225" customHeight="1">
      <x:c r="A17" s="23" t="str">
        <x:v>☐</x:v>
      </x:c>
      <x:c r="B17" s="17" t="n">
        <x:v>46367</x:v>
      </x:c>
      <x:c r="C17" s="19" t="n">
        <x:v>0.4583333333333333</x:v>
      </x:c>
      <x:c r="D17" s="3" t="str">
        <x:v>D04-G</x:v>
      </x:c>
      <x:c r="E17" s="3" t="str">
        <x:v>Group</x:v>
      </x:c>
      <x:c r="F17" s="3" t="str">
        <x:v>Plan your 2027 website before the rush</x:v>
      </x:c>
      <x:c r="G17" s="3" t="str">
        <x:v>What should your website do better next year? Write down the main customer action, content you need, integrations, budget and who will approve decisions. That gives a website conversation a useful starting point. Share your brief with eLan Technology for a scoped proposal.
Request a website planning quote. Please message us privately if relevant.</x:v>
      </x:c>
      <x:c r="H17" s="3" t="str">
        <x:v>Only relevant groups whose rules/admin allow this post. Never message every group by default.</x:v>
      </x:c>
      <x:c r="I17" s="3" t="str">
        <x:v>Six-slide planning workbook aesthetic, cream and blue with orange tabs. Final slide is an empty original brief template, not a real proposal.</x:v>
      </x:c>
      <x:c r="J17" s="3" t="str">
        <x:v>https://elan-tech.net/contact/?utm_source=whatsapp&amp;utm_medium=social&amp;utm_campaign=q4_2026_websites&amp;utm_content=d04</x:v>
      </x:c>
      <x:c r="K17" s="23" t="str">
        <x:v>☐</x:v>
      </x:c>
      <x:c r="L17" s="23" t="str">
        <x:v>☐</x:v>
      </x:c>
      <x:c r="M17" s="23" t="str">
        <x:v>☐</x:v>
      </x:c>
      <x:c r="N17" s="3" t="str"/>
      <x:c r="O17" s="17"/>
      <x:c r="P17" s="3" t="str"/>
      <x:c r="Q17" s="3" t="str"/>
    </x:row>
    <x:row r="18" ht="225" customHeight="1">
      <x:c r="A18" s="23" t="str">
        <x:v>☐</x:v>
      </x:c>
      <x:c r="B18" s="17" t="n">
        <x:v>46374</x:v>
      </x:c>
      <x:c r="C18" s="19" t="n">
        <x:v>0.4583333333333333</x:v>
      </x:c>
      <x:c r="D18" s="3" t="str">
        <x:v>D06-I</x:v>
      </x:c>
      <x:c r="E18" s="3" t="str">
        <x:v>Individual</x:v>
      </x:c>
      <x:c r="F18" s="3" t="str">
        <x:v>Read the subscription details before you choose</x:v>
      </x:c>
      <x:c r="G18" s="3" t="str">
        <x:v>Hi [Name], you requested information about the digital-card plans. We can share the current features, limits, billing interval, renewal and cancellation terms. Subscription prices are + GST. Which part would you like to clarify? No need to reply if this is no longer relevant.</x:v>
      </x:c>
      <x:c r="H18" s="3" t="str">
        <x:v>Only contacts who requested or agreed to this update. Respect opt-outs. No client list import or personal data in this workbook.</x:v>
      </x:c>
      <x:c r="I18" s="3" t="str">
        <x:v>Clean five-panel plan-reading guide. Do not invent a tier, free plan, fee or cancellation promise. Insert actual prices only after approval, always beside + GST.</x:v>
      </x:c>
      <x:c r="J18" s="3" t="str">
        <x:v>https://elan-tech.net/contact/?utm_source=whatsapp&amp;utm_medium=social&amp;utm_campaign=q4_2026_digital_card&amp;utm_content=d06</x:v>
      </x:c>
      <x:c r="K18" s="23" t="str">
        <x:v>☐</x:v>
      </x:c>
      <x:c r="L18" s="23" t="str">
        <x:v>☐</x:v>
      </x:c>
      <x:c r="M18" s="23" t="str">
        <x:v>☐</x:v>
      </x:c>
      <x:c r="N18" s="3" t="str"/>
      <x:c r="O18" s="17"/>
      <x:c r="P18" s="3" t="str"/>
      <x:c r="Q18" s="3" t="str"/>
    </x:row>
    <x:row r="19" ht="225" customHeight="1">
      <x:c r="A19" s="23" t="str">
        <x:v>☐</x:v>
      </x:c>
      <x:c r="B19" s="17" t="n">
        <x:v>46385</x:v>
      </x:c>
      <x:c r="C19" s="19" t="n">
        <x:v>0.4583333333333333</x:v>
      </x:c>
      <x:c r="D19" s="3" t="str">
        <x:v>D09-G</x:v>
      </x:c>
      <x:c r="E19" s="3" t="str">
        <x:v>Group</x:v>
      </x:c>
      <x:c r="F19" s="3" t="str">
        <x:v>What should work better for your business next year?</x:v>
      </x:c>
      <x:c r="G19" s="3" t="str">
        <x:v>An easier introduction? A clearer business website? A store that fits the way you sell? Choose the customer task you most want to improve in 2027. Tell us the priority and we can discuss the right next step without adding features you do not need.
Tell us your 2027 priority. Please message us privately if relevant.</x:v>
      </x:c>
      <x:c r="H19" s="3" t="str">
        <x:v>Only relevant groups whose rules/admin allow this post. Never message every group by default.</x:v>
      </x:c>
      <x:c r="I19" s="3" t="str">
        <x:v>Three distinct rectangular panels: introduction, business website, commerce. Original icons and sample layouts. Keep subscription product and development services separate.</x:v>
      </x:c>
      <x:c r="J19" s="3" t="str">
        <x:v>https://elan-tech.net/contact/?utm_source=whatsapp&amp;utm_medium=social&amp;utm_campaign=q4_2026_websites&amp;utm_content=d09</x:v>
      </x:c>
      <x:c r="K19" s="23" t="str">
        <x:v>☐</x:v>
      </x:c>
      <x:c r="L19" s="23" t="str">
        <x:v>☐</x:v>
      </x:c>
      <x:c r="M19" s="23" t="str">
        <x:v>☐</x:v>
      </x:c>
      <x:c r="N19" s="3" t="str"/>
      <x:c r="O19" s="17"/>
      <x:c r="P19" s="3" t="str"/>
      <x:c r="Q19" s="3" t="str"/>
    </x:row>
  </x:sheetData>
  <x:conditionalFormatting sqref="A6:A19">
    <x:cfRule type="cellIs" dxfId="12" priority="1" operator="equal">
      <x:formula>"✓"</x:formula>
    </x:cfRule>
  </x:conditionalFormatting>
  <x:conditionalFormatting sqref="K6:M19">
    <x:cfRule type="cellIs" dxfId="13" priority="2" operator="equal">
      <x:formula>"✓"</x:formula>
    </x:cfRule>
  </x:conditionalFormatting>
  <x:dataValidations count="2">
    <x:dataValidation type="list" sqref="A6:A19">
      <x:formula1>"☐,✓,N/A"</x:formula1>
    </x:dataValidation>
    <x:dataValidation type="list" sqref="K6:M19">
      <x:formula1>"☐,✓"</x:formula1>
    </x:dataValidation>
  </x:dataValidations>
  <x:pageMargins left="0.7" right="0.7" top="0.75" bottom="0.75" header="0.3" footer="0.3"/>
  <x:tableParts count="1">
    <x:tablePart xmlns:r="http://schemas.openxmlformats.org/officeDocument/2006/relationships" r:id="R1d1f2249e96449dd"/>
  </x:tableParts>
</x:worksheet>
</file>

<file path=xl/worksheets/sheet9.xml><?xml version="1.0" encoding="utf-8"?>
<x:worksheet xmlns:x="http://schemas.openxmlformats.org/spreadsheetml/2006/main">
  <x:sheetPr>
    <x:tabColor rgb="FF173C65"/>
  </x:sheetPr>
  <x:sheetViews>
    <x:sheetView showGridLines="0" workbookViewId="0">
      <x:pane xSplit="2" ySplit="5" topLeftCell="C6" activePane="bottomRight" state="frozen"/>
    </x:sheetView>
  </x:sheetViews>
  <x:sheetFormatPr defaultRowHeight="15"/>
  <x:cols>
    <x:col min="1" max="1" width="11" hidden="0" customWidth="1"/>
    <x:col min="2" max="2" width="15" hidden="0" customWidth="1"/>
    <x:col min="3" max="3" width="18" hidden="0" customWidth="1"/>
    <x:col min="4" max="4" width="39" hidden="0" customWidth="1"/>
    <x:col min="5" max="5" width="64" hidden="0" customWidth="1"/>
    <x:col min="6" max="6" width="66" hidden="0" customWidth="1"/>
    <x:col min="7" max="7" width="75" hidden="0" customWidth="1"/>
    <x:col min="8" max="8" width="72" hidden="0" customWidth="1"/>
    <x:col min="9" max="9" width="65" hidden="0" customWidth="1"/>
    <x:col min="10" max="10" width="16" hidden="0" customWidth="1"/>
    <x:col min="11" max="11" width="44" hidden="0" customWidth="1"/>
  </x:cols>
  <x:sheetData>
    <x:row r="1" ht="28" customHeight="1">
      <x:c r="A1" s="5" t="str">
        <x:v>Creative production briefs</x:v>
      </x:c>
      <x:c r="B1" s="3"/>
      <x:c r="C1" s="3"/>
      <x:c r="D1" s="3"/>
      <x:c r="E1" s="3"/>
      <x:c r="F1" s="3"/>
      <x:c r="G1" s="3"/>
      <x:c r="H1" s="3"/>
      <x:c r="I1" s="3"/>
      <x:c r="J1" s="3"/>
      <x:c r="K1" s="3"/>
    </x:row>
    <x:row r="2" ht="22" customHeight="1">
      <x:c r="A2" s="7" t="str">
        <x:v>35 original asset concepts. Platform tabs contain the adapted captions and on-image copy. Use owned demonstrations, not client assets.</x:v>
      </x:c>
      <x:c r="B2" s="3"/>
      <x:c r="C2" s="3"/>
      <x:c r="D2" s="3"/>
      <x:c r="E2" s="3"/>
      <x:c r="F2" s="3"/>
      <x:c r="G2" s="3"/>
      <x:c r="H2" s="3"/>
      <x:c r="I2" s="3"/>
      <x:c r="J2" s="3"/>
      <x:c r="K2" s="3"/>
    </x:row>
    <x:row r="3">
      <x:c r="A3" s="8"/>
      <x:c r="B3" s="8"/>
      <x:c r="C3" s="8"/>
      <x:c r="D3" s="8"/>
      <x:c r="E3" s="8"/>
      <x:c r="F3" s="8"/>
      <x:c r="G3" s="8"/>
      <x:c r="H3" s="8"/>
      <x:c r="I3" s="8"/>
      <x:c r="J3" s="8"/>
      <x:c r="K3" s="8"/>
    </x:row>
    <x:row r="4">
      <x:c r="A4" s="3"/>
      <x:c r="B4" s="3"/>
      <x:c r="C4" s="3"/>
      <x:c r="D4" s="3"/>
      <x:c r="E4" s="3"/>
      <x:c r="F4" s="3"/>
      <x:c r="G4" s="3"/>
      <x:c r="H4" s="3"/>
      <x:c r="I4" s="3"/>
      <x:c r="J4" s="3"/>
      <x:c r="K4" s="3"/>
    </x:row>
    <x:row r="5" ht="36" customHeight="1">
      <x:c r="A5" s="12" t="str">
        <x:v>ID</x:v>
      </x:c>
      <x:c r="B5" s="13" t="str">
        <x:v>Date</x:v>
      </x:c>
      <x:c r="C5" s="13" t="str">
        <x:v>Theme</x:v>
      </x:c>
      <x:c r="D5" s="13" t="str">
        <x:v>Master headline</x:v>
      </x:c>
      <x:c r="E5" s="13" t="str">
        <x:v>Carousel copy</x:v>
      </x:c>
      <x:c r="F5" s="13" t="str">
        <x:v>Art direction</x:v>
      </x:c>
      <x:c r="G5" s="13" t="str">
        <x:v>Video shot sequence</x:v>
      </x:c>
      <x:c r="H5" s="13" t="str">
        <x:v>Suggested voiceover</x:v>
      </x:c>
      <x:c r="I5" s="13" t="str">
        <x:v>Accessibility / final checks</x:v>
      </x:c>
      <x:c r="J5" s="13" t="str">
        <x:v>Master asset ready</x:v>
      </x:c>
      <x:c r="K5" s="14" t="str">
        <x:v>File link</x:v>
      </x:c>
    </x:row>
    <x:row r="6" ht="285" customHeight="1">
      <x:c r="A6" s="3" t="str">
        <x:v>S01</x:v>
      </x:c>
      <x:c r="B6" s="17" t="n">
        <x:v>46276</x:v>
      </x:c>
      <x:c r="C6" s="3" t="str">
        <x:v>Launchpad</x:v>
      </x:c>
      <x:c r="D6" s="3" t="str">
        <x:v>A fresh start for your business online</x:v>
      </x:c>
      <x:c r="E6" s="3" t="str">
        <x:v>COVER: A fresh start for your business online
SLIDE 2: Digital Launchpad opens 14 September
SLIDE 3: One plan: ₹32,000 + GST
SLIDE 4: Bookings: 14–25 September 2026
SLIDE 5: Ask for the written scope before booking
CLOSING: Request the offer details</x:v>
      </x:c>
      <x:c r="F6" s="3" t="str">
        <x:v>Cream background, orange date strip and blue headline. Build an original desktop-and-phone wireframe, clearly labelled Sample layout. No client screens. Keep + GST as prominent as the price.</x:v>
      </x:c>
      <x:c r="G6" s="3" t="str">
        <x:v>0–3s: headline, A fresh start for your business online.
3–10s: illustrate digital launchpad opens 14 september using original design or a tested sample screen.
10–18s: show one plan: ₹32,000 + gst.
18–25s: show bookings: 14–25 september 2026.
25–35s: Request the offer details. Show ₹32,000 + GST and 14–25 September 2026.
Adjust duration to a natural read. This video is an alternative to the carousel, not an extra compulsory post.</x:v>
      </x:c>
      <x:c r="H6" s="3" t="str">
        <x:v>A fresh start for your business online. Digital Launchpad opens 14 September. One plan: ₹32,000 + GST. Bookings: 14–25 September 2026. Request the offer details. Digital Launchpad is ₹32,000 plus GST. Bookings are open from 14 to 25 September 2026.</x:v>
      </x:c>
      <x:c r="I6" s="3" t="str">
        <x:v>Caption spoken audio. Use readable contrast and a phone preview. Alt text is suggested in each channel tab and must match the final graphic. Label sample screens. Use licensed audio. No client names, screenshots, logos or testimonials. Approve final scope and offer landing page before publication</x:v>
      </x:c>
      <x:c r="J6" s="23" t="str">
        <x:v>☐</x:v>
      </x:c>
      <x:c r="K6" s="3" t="str"/>
    </x:row>
    <x:row r="7" ht="285" customHeight="1">
      <x:c r="A7" s="3" t="str">
        <x:v>S02</x:v>
      </x:c>
      <x:c r="B7" s="17" t="n">
        <x:v>46279</x:v>
      </x:c>
      <x:c r="C7" s="3" t="str">
        <x:v>Launchpad</x:v>
      </x:c>
      <x:c r="D7" s="3" t="str">
        <x:v>Digital Launchpad is open: ₹32,000 + GST</x:v>
      </x:c>
      <x:c r="E7" s="3" t="str">
        <x:v>COVER: Digital Launchpad is open: ₹32,000 + GST
SLIDE 2: Digital Launchpad is now open
SLIDE 3: ₹32,000 + GST
SLIDE 4: 14–25 September 2026
SLIDE 5: Check scope and terms
SLIDE 6: Request the offer details
CLOSING: Request this offer</x:v>
      </x:c>
      <x:c r="F7" s="3" t="str">
        <x:v>Price-led poster with a clean rectangular sample browser. Large ₹32,000, visible + GST beside it, booking dates below. Avoid a long feature list until inclusions are approved.</x:v>
      </x:c>
      <x:c r="G7" s="3" t="str">
        <x:v>0–3s: headline, Digital Launchpad is open: ₹32,000 + GST.
3–10s: illustrate digital launchpad is now open using original design or a tested sample screen.
10–18s: show ₹32,000 + gst.
18–25s: show 14–25 september 2026.
25–35s: Request this offer. Show ₹32,000 + GST and 14–25 September 2026.
Adjust duration to a natural read. This video is an alternative to the carousel, not an extra compulsory post.</x:v>
      </x:c>
      <x:c r="H7" s="3" t="str">
        <x:v>Digital Launchpad is open: ₹32,000 + GST. Digital Launchpad is now open. ₹32,000 + GST. 14–25 September 2026. Request this offer. Digital Launchpad is ₹32,000 plus GST. Bookings are open from 14 to 25 September 2026.</x:v>
      </x:c>
      <x:c r="I7" s="3" t="str">
        <x:v>Caption spoken audio. Use readable contrast and a phone preview. Alt text is suggested in each channel tab and must match the final graphic. Label sample screens. Use licensed audio. No client names, screenshots, logos or testimonials. Approve scope, payment terms and offer page; GBP Offer ends 25 September 2026</x:v>
      </x:c>
      <x:c r="J7" s="23" t="str">
        <x:v>☐</x:v>
      </x:c>
      <x:c r="K7" s="3" t="str"/>
    </x:row>
    <x:row r="8" ht="285" customHeight="1">
      <x:c r="A8" s="3" t="str">
        <x:v>S03</x:v>
      </x:c>
      <x:c r="B8" s="17" t="n">
        <x:v>46281</x:v>
      </x:c>
      <x:c r="C8" s="3" t="str">
        <x:v>Launchpad</x:v>
      </x:c>
      <x:c r="D8" s="3" t="str">
        <x:v>Before booking, know what is included</x:v>
      </x:c>
      <x:c r="E8" s="3" t="str">
        <x:v>COVER: Before booking, know what is included
SLIDE 2: What does the package cover?
SLIDE 3: Check pages, content and revisions
SLIDE 4: Check hosting and ongoing support
SLIDE 5: Confirm exclusions and payment terms
SLIDE 6: Digital Launchpad: ₹32,000 + GST, until 25 September
CLOSING: Ask for the package scope</x:v>
      </x:c>
      <x:c r="F8" s="3" t="str">
        <x:v>Five-slide checklist. Each slide asks one scope question. Use outlined page, pencil, server and document symbols. Do not portray a question as an included feature.</x:v>
      </x:c>
      <x:c r="G8" s="3" t="str">
        <x:v>0–3s: headline, Before booking, know what is included.
3–10s: illustrate what does the package cover? using original design or a tested sample screen.
10–18s: show check pages, content and revisions.
18–25s: show check hosting and ongoing support.
25–35s: Ask for the package scope. Show ₹32,000 + GST and 14–25 September 2026.
Adjust duration to a natural read. This video is an alternative to the carousel, not an extra compulsory post.</x:v>
      </x:c>
      <x:c r="H8" s="3" t="str">
        <x:v>Before booking, know what is included. What does the package cover?. Check pages, content and revisions. Check hosting and ongoing support. Ask for the package scope. Digital Launchpad is ₹32,000 plus GST. Bookings are open from 14 to 25 September 2026.</x:v>
      </x:c>
      <x:c r="I8" s="3" t="str">
        <x:v>Caption spoken audio. Use readable contrast and a phone preview. Alt text is suggested in each channel tab and must match the final graphic. Label sample screens. Use licensed audio. No client names, screenshots, logos or testimonials. Written scope must be approved; do not insert unconfirmed inclusions</x:v>
      </x:c>
      <x:c r="J8" s="23" t="str">
        <x:v>☐</x:v>
      </x:c>
      <x:c r="K8" s="3" t="str"/>
    </x:row>
    <x:row r="9" ht="285" customHeight="1">
      <x:c r="A9" s="3" t="str">
        <x:v>S04</x:v>
      </x:c>
      <x:c r="B9" s="17" t="n">
        <x:v>46283</x:v>
      </x:c>
      <x:c r="C9" s="3" t="str">
        <x:v>Launchpad</x:v>
      </x:c>
      <x:c r="D9" s="3" t="str">
        <x:v>Make it easy for visitors to enquire</x:v>
      </x:c>
      <x:c r="E9" s="3" t="str">
        <x:v>COVER: Make it easy for visitors to enquire
SLIDE 2: Can visitors understand your service?
SLIDE 3: Can they find contact options on mobile?
SLIDE 4: Does the enquiry reach your inbox?
SLIDE 5: Demonstration, not a client website
SLIDE 6: Ask about Launchpad: ₹32,000 + GST
CLOSING: Request the offer details</x:v>
      </x:c>
      <x:c r="F9" s="3" t="str">
        <x:v>25-second screen recording of an original sample site. Show service, contact route and a sandbox form confirmation. Persistent Demonstration label. Never show a real lead or inbox.</x:v>
      </x:c>
      <x:c r="G9" s="3" t="str">
        <x:v>0–3s: headline, Make it easy for visitors to enquire.
3–10s: illustrate can visitors understand your service? using original design or a tested sample screen.
10–18s: show can they find contact options on mobile?.
18–25s: show does the enquiry reach your inbox?.
25–35s: Request the offer details. Show ₹32,000 + GST and 14–25 September 2026.
Adjust duration to a natural read. This video is an alternative to the carousel, not an extra compulsory post.</x:v>
      </x:c>
      <x:c r="H9" s="3" t="str">
        <x:v>Make it easy for visitors to enquire. Can visitors understand your service?. Can they find contact options on mobile?. Does the enquiry reach your inbox?. Request the offer details. Digital Launchpad is ₹32,000 plus GST. Bookings are open from 14 to 25 September 2026.</x:v>
      </x:c>
      <x:c r="I9" s="3" t="str">
        <x:v>Caption spoken audio. Use readable contrast and a phone preview. Alt text is suggested in each channel tab and must match the final graphic. Label sample screens. Use licensed audio. No client names, screenshots, logos or testimonials. Test the demo; approve offer scope; no claim of guaranteed enquiries</x:v>
      </x:c>
      <x:c r="J9" s="23" t="str">
        <x:v>☐</x:v>
      </x:c>
      <x:c r="K9" s="3" t="str"/>
    </x:row>
    <x:row r="10" ht="285" customHeight="1">
      <x:c r="A10" s="3" t="str">
        <x:v>S05</x:v>
      </x:c>
      <x:c r="B10" s="17" t="n">
        <x:v>46286</x:v>
      </x:c>
      <x:c r="C10" s="3" t="str">
        <x:v>Launchpad</x:v>
      </x:c>
      <x:c r="D10" s="3" t="str">
        <x:v>Five questions before you book a website</x:v>
      </x:c>
      <x:c r="E10" s="3" t="str">
        <x:v>COVER: Five questions before you book a website
SLIDE 2: Who provides the content?
SLIDE 3: How many revisions are agreed?
SLIDE 4: Which costs renew?
SLIDE 5: What is handed over?
SLIDE 6: What affects the delivery date?
CLOSING: Discuss your website requirements</x:v>
      </x:c>
      <x:c r="F10" s="3" t="str">
        <x:v>Five numbered rectangular question cards, with a sixth closing panel. Blue type on white, restrained orange number blocks. Put the offer only on the closing slide.</x:v>
      </x:c>
      <x:c r="G10" s="3" t="str">
        <x:v>0–3s: headline, Five questions before you book a website.
3–10s: illustrate who provides the content? using original design or a tested sample screen.
10–18s: show how many revisions are agreed?.
18–25s: show which costs renew?.
25–35s: Discuss your website requirements. Show ₹32,000 + GST and 14–25 September 2026.
Adjust duration to a natural read. This video is an alternative to the carousel, not an extra compulsory post.</x:v>
      </x:c>
      <x:c r="H10" s="3" t="str">
        <x:v>Five questions before you book a website. Who provides the content?. How many revisions are agreed?. Which costs renew?. Discuss your website requirements. Digital Launchpad is ₹32,000 plus GST. Bookings are open from 14 to 25 September 2026.</x:v>
      </x:c>
      <x:c r="I10" s="3" t="str">
        <x:v>Caption spoken audio. Use readable contrast and a phone preview. Alt text is suggested in each channel tab and must match the final graphic. Label sample screens. Use licensed audio. No client names, screenshots, logos or testimonials. Confirm contractual wording and offer scope</x:v>
      </x:c>
      <x:c r="J10" s="23" t="str">
        <x:v>☐</x:v>
      </x:c>
      <x:c r="K10" s="3" t="str"/>
    </x:row>
    <x:row r="11" ht="285" customHeight="1">
      <x:c r="A11" s="3" t="str">
        <x:v>S06</x:v>
      </x:c>
      <x:c r="B11" s="17" t="n">
        <x:v>46288</x:v>
      </x:c>
      <x:c r="C11" s="3" t="str">
        <x:v>Launchpad</x:v>
      </x:c>
      <x:c r="D11" s="3" t="str">
        <x:v>Your Launchpad questions, answered</x:v>
      </x:c>
      <x:c r="E11" s="3" t="str">
        <x:v>COVER: Your Launchpad questions, answered
SLIDE 2: What should the website help people do?
SLIDE 3: What content is ready?
SLIDE 4: What support will you need?
SLIDE 5: Check the written scope
SLIDE 6: ₹32,000 + GST; bookings close 25 September
CLOSING: Ask about the offer</x:v>
      </x:c>
      <x:c r="F11" s="3" t="str">
        <x:v>Founder video, 25–35 seconds, bright uncluttered setting. Add three question captions and a final date/price card. Say Common questions, not You asked, unless questions were received.</x:v>
      </x:c>
      <x:c r="G11" s="3" t="str">
        <x:v>0–3s: headline, Your Launchpad questions, answered.
3–10s: illustrate what should the website help people do? using original design or a tested sample screen.
10–18s: show what content is ready?.
18–25s: show what support will you need?.
25–35s: Ask about the offer. Show ₹32,000 + GST and 14–25 September 2026.
Adjust duration to a natural read. This video is an alternative to the carousel, not an extra compulsory post.</x:v>
      </x:c>
      <x:c r="H11" s="3" t="str">
        <x:v>Your Launchpad questions, answered. What should the website help people do?. What content is ready?. What support will you need?. Ask about the offer. Digital Launchpad is ₹32,000 plus GST. Bookings are open from 14 to 25 September 2026.</x:v>
      </x:c>
      <x:c r="I11" s="3" t="str">
        <x:v>Caption spoken audio. Use readable contrast and a phone preview. Alt text is suggested in each channel tab and must match the final graphic. Label sample screens. Use licensed audio. No client names, screenshots, logos or testimonials. Approve answers against actual package terms</x:v>
      </x:c>
      <x:c r="J11" s="23" t="str">
        <x:v>☐</x:v>
      </x:c>
      <x:c r="K11" s="3" t="str"/>
    </x:row>
    <x:row r="12" ht="285" customHeight="1">
      <x:c r="A12" s="3" t="str">
        <x:v>S07</x:v>
      </x:c>
      <x:c r="B12" s="17" t="n">
        <x:v>46290</x:v>
      </x:c>
      <x:c r="C12" s="3" t="str">
        <x:v>Launchpad</x:v>
      </x:c>
      <x:c r="D12" s="3" t="str">
        <x:v>Last day for Digital Launchpad bookings</x:v>
      </x:c>
      <x:c r="E12" s="3" t="str">
        <x:v>COVER: Last day for Digital Launchpad bookings
SLIDE 2: Bookings close today
SLIDE 3: 25 September 2026
SLIDE 4: ₹32,000 + GST
SLIDE 5: Review scope and booking terms
SLIDE 6: Request the details today
CLOSING: Request the offer details today</x:v>
      </x:c>
      <x:c r="F12" s="3" t="str">
        <x:v>One bold closing-date graphic. White, blue and orange. No countdown counter, remaining-slot claim or invented cutoff time. Create an expired version for the landing page after closure.</x:v>
      </x:c>
      <x:c r="G12" s="3" t="str">
        <x:v>0–3s: headline, Last day for Digital Launchpad bookings.
3–10s: illustrate bookings close today using original design or a tested sample screen.
10–18s: show 25 september 2026.
18–25s: show ₹32,000 + gst.
25–35s: Request the offer details today. Show ₹32,000 + GST and 14–25 September 2026.
Adjust duration to a natural read. This video is an alternative to the carousel, not an extra compulsory post.</x:v>
      </x:c>
      <x:c r="H12" s="3" t="str">
        <x:v>Last day for Digital Launchpad bookings. Bookings close today. 25 September 2026. ₹32,000 + GST. Request the offer details today. Digital Launchpad is ₹32,000 plus GST. Bookings are open from 14 to 25 September 2026.</x:v>
      </x:c>
      <x:c r="I12" s="3" t="str">
        <x:v>Caption spoken audio. Use readable contrast and a phone preview. Alt text is suggested in each channel tab and must match the final graphic. Label sample screens. Use licensed audio. No client names, screenshots, logos or testimonials. Confirm closing time and booking conditions; remove active promotion after expiry</x:v>
      </x:c>
      <x:c r="J12" s="23" t="str">
        <x:v>☐</x:v>
      </x:c>
      <x:c r="K12" s="3" t="str"/>
    </x:row>
    <x:row r="13" ht="285" customHeight="1">
      <x:c r="A13" s="3" t="str">
        <x:v>S08</x:v>
      </x:c>
      <x:c r="B13" s="17" t="n">
        <x:v>46294</x:v>
      </x:c>
      <x:c r="C13" s="3" t="str">
        <x:v>Shopify</x:v>
      </x:c>
      <x:c r="D13" s="3" t="str">
        <x:v>A Shopify store should feel like your business</x:v>
      </x:c>
      <x:c r="E13" s="3" t="str">
        <x:v>COVER: A Shopify store should feel like your business
SLIDE 2: Start with the shopping journey
SLIDE 3: Organise products clearly
SLIDE 4: Answer questions on product pages
SLIDE 5: Check navigation on a phone
SLIDE 6: Plan a custom Shopify storefront
CLOSING: Request a Shopify quote</x:v>
      </x:c>
      <x:c r="F13" s="3" t="str">
        <x:v>Five-slide original shop wireframe using neutral sample products. Green accent, cream background. Zoom into collection, product details and mobile menu. Label all screens Demonstration.</x:v>
      </x:c>
      <x:c r="G13" s="3" t="str">
        <x:v>0–3s: headline, A Shopify store should feel like your business.
3–10s: illustrate start with the shopping journey using original design or a tested sample screen.
10–18s: show organise products clearly.
18–25s: show answer questions on product pages.
25–35s: Request a Shopify quote. 
Adjust duration to a natural read. This video is an alternative to the carousel, not an extra compulsory post.</x:v>
      </x:c>
      <x:c r="H13" s="3" t="str">
        <x:v>A Shopify store should feel like your business. Start with the shopping journey. Organise products clearly. Answer questions on product pages. Request a Shopify quote.</x:v>
      </x:c>
      <x:c r="I13" s="3" t="str">
        <x:v>Caption spoken audio. Use readable contrast and a phone preview. Alt text is suggested in each channel tab and must match the final graphic. Label sample screens. Use licensed audio. No client names, screenshots, logos or testimonials. Standard approval</x:v>
      </x:c>
      <x:c r="J13" s="23" t="str">
        <x:v>☐</x:v>
      </x:c>
      <x:c r="K13" s="3" t="str"/>
    </x:row>
    <x:row r="14" ht="285" customHeight="1">
      <x:c r="A14" s="3" t="str">
        <x:v>O01</x:v>
      </x:c>
      <x:c r="B14" s="17" t="n">
        <x:v>46297</x:v>
      </x:c>
      <x:c r="C14" s="3" t="str">
        <x:v>Digital card</x:v>
      </x:c>
      <x:c r="D14" s="3" t="str">
        <x:v>One link for your business details</x:v>
      </x:c>
      <x:c r="E14" s="3" t="str">
        <x:v>COVER: One link for your business details
SLIDE 2: A digital business card is in preparation
SLIDE 3: Preview only
SLIDE 4: Final features and plans will follow
SLIDE 5: Subscription prices + GST
SLIDE 6: Reply CARD to express interest
CLOSING: Express interest in the digital card</x:v>
      </x:c>
      <x:c r="F14" s="3" t="str">
        <x:v>15-second actual preview recording with fictional sample data. Show only a tested profile and working sharing action. Preview label throughout. Do not publish an unverified domain.</x:v>
      </x:c>
      <x:c r="G14" s="3" t="str">
        <x:v>0–3s: headline, One link for your business details.
3–10s: illustrate a digital business card is in preparation using original design or a tested sample screen.
10–18s: show preview only.
18–25s: show final features and plans will follow.
25–35s: Express interest in the digital card. 
Adjust duration to a natural read. This video is an alternative to the carousel, not an extra compulsory post.</x:v>
      </x:c>
      <x:c r="H14" s="3" t="str">
        <x:v>One link for your business details. A digital business card is in preparation. Preview only. Final features and plans will follow. Express interest in the digital card. Subscription prices are quoted plus GST.</x:v>
      </x:c>
      <x:c r="I14" s="3" t="str">
        <x:v>Caption spoken audio. Use readable contrast and a phone preview. Alt text is suggested in each channel tab and must match the final graphic. Label sample screens. Use licensed audio. No client names, screenshots, logos or testimonials. Confirm working preview and approved brand/domain; not a public launch</x:v>
      </x:c>
      <x:c r="J14" s="23" t="str">
        <x:v>☐</x:v>
      </x:c>
      <x:c r="K14" s="3" t="str"/>
    </x:row>
    <x:row r="15" ht="285" customHeight="1">
      <x:c r="A15" s="3" t="str">
        <x:v>O02</x:v>
      </x:c>
      <x:c r="B15" s="17" t="n">
        <x:v>46301</x:v>
      </x:c>
      <x:c r="C15" s="3" t="str">
        <x:v>Commerce</x:v>
      </x:c>
      <x:c r="D15" s="3" t="str">
        <x:v>Connect the store to the work behind it</x:v>
      </x:c>
      <x:c r="E15" s="3" t="str">
        <x:v>COVER: Connect the store to the work behind it
SLIDE 2: Customer places an order
SLIDE 3: Payment status is checked
SLIDE 4: Subscription rules apply where needed
SLIDE 5: Shipping receives the next action
SLIDE 6: Plan the workflow before the build
CLOSING: Discuss custom commerce</x:v>
      </x:c>
      <x:c r="F15" s="3" t="str">
        <x:v>Four-part original flow diagram with labelled arrows and one exception branch for payment failure. Indigo and teal accents. No client screens, order values or provider endorsement.</x:v>
      </x:c>
      <x:c r="G15" s="3" t="str">
        <x:v>0–3s: headline, Connect the store to the work behind it.
3–10s: illustrate customer places an order using original design or a tested sample screen.
10–18s: show payment status is checked.
18–25s: show subscription rules apply where needed.
25–35s: Discuss custom commerce. 
Adjust duration to a natural read. This video is an alternative to the carousel, not an extra compulsory post.</x:v>
      </x:c>
      <x:c r="H15" s="3" t="str">
        <x:v>Connect the store to the work behind it. Customer places an order. Payment status is checked. Subscription rules apply where needed. Discuss custom commerce.</x:v>
      </x:c>
      <x:c r="I15" s="3" t="str">
        <x:v>Caption spoken audio. Use readable contrast and a phone preview. Alt text is suggested in each channel tab and must match the final graphic. Label sample screens. Use licensed audio. No client names, screenshots, logos or testimonials. Standard approval</x:v>
      </x:c>
      <x:c r="J15" s="23" t="str">
        <x:v>☐</x:v>
      </x:c>
      <x:c r="K15" s="3" t="str"/>
    </x:row>
    <x:row r="16" ht="285" customHeight="1">
      <x:c r="A16" s="3" t="str">
        <x:v>O03</x:v>
      </x:c>
      <x:c r="B16" s="17" t="n">
        <x:v>46304</x:v>
      </x:c>
      <x:c r="C16" s="3" t="str">
        <x:v>Accessibility</x:v>
      </x:c>
      <x:c r="D16" s="3" t="str">
        <x:v>Can your website be used without a mouse?</x:v>
      </x:c>
      <x:c r="E16" s="3" t="str">
        <x:v>COVER: Can your website be used without a mouse?
SLIDE 2: Put the mouse aside
SLIDE 3: Use Tab to move through the page
SLIDE 4: Look for visible focus
SLIDE 5: Try the menu and form
SLIDE 6: A starting check, not certification
CLOSING: Request an accessibility assessment</x:v>
      </x:c>
      <x:c r="F16" s="3" t="str">
        <x:v>25-second original demo. Show a clear focus outline moving through a menu and form. Add keypress captions. Teal on white, no fear imagery or lawsuit figures.</x:v>
      </x:c>
      <x:c r="G16" s="3" t="str">
        <x:v>0–3s: headline, Can your website be used without a mouse?.
3–10s: illustrate put the mouse aside using original design or a tested sample screen.
10–18s: show use tab to move through the page.
18–25s: show look for visible focus.
25–35s: Request an accessibility assessment. 
Adjust duration to a natural read. This video is an alternative to the carousel, not an extra compulsory post.</x:v>
      </x:c>
      <x:c r="H16" s="3" t="str">
        <x:v>Can your website be used without a mouse?. Put the mouse aside. Use Tab to move through the page. Look for visible focus. Request an accessibility assessment.</x:v>
      </x:c>
      <x:c r="I16" s="3" t="str">
        <x:v>Caption spoken audio. Use readable contrast and a phone preview. Alt text is suggested in each channel tab and must match the final graphic. Label sample screens. Use licensed audio. No client names, screenshots, logos or testimonials. Standard approval</x:v>
      </x:c>
      <x:c r="J16" s="23" t="str">
        <x:v>☐</x:v>
      </x:c>
      <x:c r="K16" s="3" t="str"/>
    </x:row>
    <x:row r="17" ht="285" customHeight="1">
      <x:c r="A17" s="3" t="str">
        <x:v>O04</x:v>
      </x:c>
      <x:c r="B17" s="17" t="n">
        <x:v>46308</x:v>
      </x:c>
      <x:c r="C17" s="3" t="str">
        <x:v>Digital card</x:v>
      </x:c>
      <x:c r="D17" s="3" t="str">
        <x:v>Help us test a simpler business introduction</x:v>
      </x:c>
      <x:c r="E17" s="3" t="str">
        <x:v>COVER: Help us test a simpler business introduction
SLIDE 2: Interested in a digital card pilot?
SLIDE 3: Test the setup journey
SLIDE 4: Check the profile details
SLIDE 5: Try the sharing experience
SLIDE 6: Ask for the pilot terms
CLOSING: Ask about the pilot</x:v>
      </x:c>
      <x:c r="F17" s="3" t="str">
        <x:v>Three-screen walkthrough with fictional data. Show only working steps. Closing card invites interest, with no free-forever or guaranteed access claim.</x:v>
      </x:c>
      <x:c r="G17" s="3" t="str">
        <x:v>0–3s: headline, Help us test a simpler business introduction.
3–10s: illustrate interested in a digital card pilot? using original design or a tested sample screen.
10–18s: show test the setup journey.
18–25s: show check the profile details.
25–35s: Ask about the pilot. 
Adjust duration to a natural read. This video is an alternative to the carousel, not an extra compulsory post.</x:v>
      </x:c>
      <x:c r="H17" s="3" t="str">
        <x:v>Help us test a simpler business introduction. Interested in a digital card pilot?. Test the setup journey. Check the profile details. Ask about the pilot. Subscription prices are quoted plus GST.</x:v>
      </x:c>
      <x:c r="I17" s="3" t="str">
        <x:v>Caption spoken audio. Use readable contrast and a phone preview. Alt text is suggested in each channel tab and must match the final graphic. Label sample screens. Use licensed audio. No client names, screenshots, logos or testimonials. Pilot must be approved, functional and have written terms before invitations</x:v>
      </x:c>
      <x:c r="J17" s="23" t="str">
        <x:v>☐</x:v>
      </x:c>
      <x:c r="K17" s="3" t="str"/>
    </x:row>
    <x:row r="18" ht="285" customHeight="1">
      <x:c r="A18" s="3" t="str">
        <x:v>O05</x:v>
      </x:c>
      <x:c r="B18" s="17" t="n">
        <x:v>46311</x:v>
      </x:c>
      <x:c r="C18" s="3" t="str">
        <x:v>Websites</x:v>
      </x:c>
      <x:c r="D18" s="3" t="str">
        <x:v>What should a website quote explain?</x:v>
      </x:c>
      <x:c r="E18" s="3" t="str">
        <x:v>COVER: What should a website quote explain?
SLIDE 2: List the deliverables
SLIDE 3: Agree who supplies content
SLIDE 4: Clarify revisions and approvals
SLIDE 5: Read ownership and support terms
SLIDE 6: Check exclusions and payment stages
CLOSING: Request a scoped website quote</x:v>
      </x:c>
      <x:c r="F18" s="3" t="str">
        <x:v>Five clean document-style panels, orange highlights on key terms. No fake competitor quote or fabricated saving.</x:v>
      </x:c>
      <x:c r="G18" s="3" t="str">
        <x:v>0–3s: headline, What should a website quote explain?.
3–10s: illustrate list the deliverables using original design or a tested sample screen.
10–18s: show agree who supplies content.
18–25s: show clarify revisions and approvals.
25–35s: Request a scoped website quote. 
Adjust duration to a natural read. This video is an alternative to the carousel, not an extra compulsory post.</x:v>
      </x:c>
      <x:c r="H18" s="3" t="str">
        <x:v>What should a website quote explain?. List the deliverables. Agree who supplies content. Clarify revisions and approvals. Request a scoped website quote.</x:v>
      </x:c>
      <x:c r="I18" s="3" t="str">
        <x:v>Caption spoken audio. Use readable contrast and a phone preview. Alt text is suggested in each channel tab and must match the final graphic. Label sample screens. Use licensed audio. No client names, screenshots, logos or testimonials. Standard approval</x:v>
      </x:c>
      <x:c r="J18" s="23" t="str">
        <x:v>☐</x:v>
      </x:c>
      <x:c r="K18" s="3" t="str"/>
    </x:row>
    <x:row r="19" ht="285" customHeight="1">
      <x:c r="A19" s="3" t="str">
        <x:v>O06</x:v>
      </x:c>
      <x:c r="B19" s="17" t="n">
        <x:v>46315</x:v>
      </x:c>
      <x:c r="C19" s="3" t="str">
        <x:v>Commerce</x:v>
      </x:c>
      <x:c r="D19" s="3" t="str">
        <x:v>Shopify, WooCommerce or Medusa.js?</x:v>
      </x:c>
      <x:c r="E19" s="3" t="str">
        <x:v>COVER: Shopify, WooCommerce or Medusa.js?
SLIDE 2: Shopify: managed commerce platform
SLIDE 3: WooCommerce: commerce on WordPress
SLIDE 4: Medusa.js: custom commerce development
SLIDE 5: Compare integrations and ongoing work
SLIDE 6: Choose around your requirements
CLOSING: Discuss your eCommerce requirements</x:v>
      </x:c>
      <x:c r="F19" s="3" t="str">
        <x:v>Three equal rectangular cards in green, purple and indigo. No winner badge. Final comparison slide lists operations, integrations and maintenance. Keep names as text unless approved logos are available.</x:v>
      </x:c>
      <x:c r="G19" s="3" t="str">
        <x:v>0–3s: headline, Shopify, WooCommerce or Medusa.js?.
3–10s: illustrate shopify: managed commerce platform using original design or a tested sample screen.
10–18s: show woocommerce: commerce on wordpress.
18–25s: show medusa.js: custom commerce development.
25–35s: Discuss your eCommerce requirements. 
Adjust duration to a natural read. This video is an alternative to the carousel, not an extra compulsory post.</x:v>
      </x:c>
      <x:c r="H19" s="3" t="str">
        <x:v>Shopify, WooCommerce or Medusa.js?. Shopify: managed commerce platform. WooCommerce: commerce on WordPress. Medusa.js: custom commerce development. Discuss your eCommerce requirements.</x:v>
      </x:c>
      <x:c r="I19" s="3" t="str">
        <x:v>Caption spoken audio. Use readable contrast and a phone preview. Alt text is suggested in each channel tab and must match the final graphic. Label sample screens. Use licensed audio. No client names, screenshots, logos or testimonials. Standard approval</x:v>
      </x:c>
      <x:c r="J19" s="23" t="str">
        <x:v>☐</x:v>
      </x:c>
      <x:c r="K19" s="3" t="str"/>
    </x:row>
    <x:row r="20" ht="285" customHeight="1">
      <x:c r="A20" s="3" t="str">
        <x:v>O07</x:v>
      </x:c>
      <x:c r="B20" s="17" t="n">
        <x:v>46318</x:v>
      </x:c>
      <x:c r="C20" s="3" t="str">
        <x:v>Websites</x:v>
      </x:c>
      <x:c r="D20" s="3" t="str">
        <x:v>A local business website starts with real questions</x:v>
      </x:c>
      <x:c r="E20" s="3" t="str">
        <x:v>COVER: A local business website starts with real questions
SLIDE 2: What do customers need to know?
SLIDE 3: Explain services in everyday language
SLIDE 4: State the real service area
SLIDE 5: Make enquiry options clear
SLIDE 6: Plan the mobile experience
CLOSING: Request a business website quote</x:v>
      </x:c>
      <x:c r="F20" s="3" t="str">
        <x:v>Original wireframe sequence: customer questions, service page, contact panel, phone view. Small Nagpur label, no fictional branch offices or client locations.</x:v>
      </x:c>
      <x:c r="G20" s="3" t="str">
        <x:v>0–3s: headline, A local business website starts with real questions.
3–10s: illustrate what do customers need to know? using original design or a tested sample screen.
10–18s: show explain services in everyday language.
18–25s: show state the real service area.
25–35s: Request a business website quote. 
Adjust duration to a natural read. This video is an alternative to the carousel, not an extra compulsory post.</x:v>
      </x:c>
      <x:c r="H20" s="3" t="str">
        <x:v>A local business website starts with real questions. What do customers need to know?. Explain services in everyday language. State the real service area. Request a business website quote.</x:v>
      </x:c>
      <x:c r="I20" s="3" t="str">
        <x:v>Caption spoken audio. Use readable contrast and a phone preview. Alt text is suggested in each channel tab and must match the final graphic. Label sample screens. Use licensed audio. No client names, screenshots, logos or testimonials. Standard approval</x:v>
      </x:c>
      <x:c r="J20" s="23" t="str">
        <x:v>☐</x:v>
      </x:c>
      <x:c r="K20" s="3" t="str"/>
    </x:row>
    <x:row r="21" ht="285" customHeight="1">
      <x:c r="A21" s="3" t="str">
        <x:v>O08</x:v>
      </x:c>
      <x:c r="B21" s="17" t="n">
        <x:v>46322</x:v>
      </x:c>
      <x:c r="C21" s="3" t="str">
        <x:v>Commerce</x:v>
      </x:c>
      <x:c r="D21" s="3" t="str">
        <x:v>Four checkout checks before your next promotion</x:v>
      </x:c>
      <x:c r="E21" s="3" t="str">
        <x:v>COVER: Four checkout checks before your next promotion
SLIDE 2: Try the journey on mobile
SLIDE 3: Check delivery-cost clarity
SLIDE 4: Read form error messages
SLIDE 5: Test the payment handoff safely
SLIDE 6: Fix issues before a promotion
CLOSING: Discuss store improvements</x:v>
      </x:c>
      <x:c r="F21" s="3" t="str">
        <x:v>30-second sandbox recording with four chapter cards. Show sample cart and error message without real customer details or payment credentials.</x:v>
      </x:c>
      <x:c r="G21" s="3" t="str">
        <x:v>0–3s: headline, Four checkout checks before your next promotion.
3–10s: illustrate try the journey on mobile using original design or a tested sample screen.
10–18s: show check delivery-cost clarity.
18–25s: show read form error messages.
25–35s: Discuss store improvements. 
Adjust duration to a natural read. This video is an alternative to the carousel, not an extra compulsory post.</x:v>
      </x:c>
      <x:c r="H21" s="3" t="str">
        <x:v>Four checkout checks before your next promotion. Try the journey on mobile. Check delivery-cost clarity. Read form error messages. Discuss store improvements.</x:v>
      </x:c>
      <x:c r="I21" s="3" t="str">
        <x:v>Caption spoken audio. Use readable contrast and a phone preview. Alt text is suggested in each channel tab and must match the final graphic. Label sample screens. Use licensed audio. No client names, screenshots, logos or testimonials. Standard approval</x:v>
      </x:c>
      <x:c r="J21" s="23" t="str">
        <x:v>☐</x:v>
      </x:c>
      <x:c r="K21" s="3" t="str"/>
    </x:row>
    <x:row r="22" ht="285" customHeight="1">
      <x:c r="A22" s="3" t="str">
        <x:v>O09</x:v>
      </x:c>
      <x:c r="B22" s="17" t="n">
        <x:v>46325</x:v>
      </x:c>
      <x:c r="C22" s="3" t="str">
        <x:v>Digital card</x:v>
      </x:c>
      <x:c r="D22" s="3" t="str">
        <x:v>What makes a digital card easy to use?</x:v>
      </x:c>
      <x:c r="E22" s="3" t="str">
        <x:v>COVER: What makes a digital card easy to use?
SLIDE 2: Readable on a phone
SLIDE 3: Clear contact choices
SLIDE 4: A practical sharing journey
SLIDE 5: Product readiness comes first
SLIDE 6: Ask for a preview update
CLOSING: Request a preview update</x:v>
      </x:c>
      <x:c r="F22" s="3" t="str">
        <x:v>Three-panel internal-test checklist using a verified sample screen. Do not fabricate test scores, customer feedback or improvements not completed.</x:v>
      </x:c>
      <x:c r="G22" s="3" t="str">
        <x:v>0–3s: headline, What makes a digital card easy to use?.
3–10s: illustrate readable on a phone using original design or a tested sample screen.
10–18s: show clear contact choices.
18–25s: show a practical sharing journey.
25–35s: Request a preview update. 
Adjust duration to a natural read. This video is an alternative to the carousel, not an extra compulsory post.</x:v>
      </x:c>
      <x:c r="H22" s="3" t="str">
        <x:v>What makes a digital card easy to use?. Readable on a phone. Clear contact choices. A practical sharing journey. Request a preview update. Subscription prices are quoted plus GST.</x:v>
      </x:c>
      <x:c r="I22" s="3" t="str">
        <x:v>Caption spoken audio. Use readable contrast and a phone preview. Alt text is suggested in each channel tab and must match the final graphic. Label sample screens. Use licensed audio. No client names, screenshots, logos or testimonials. Verify actual test status; do not imply a completed pilot or user results</x:v>
      </x:c>
      <x:c r="J22" s="23" t="str">
        <x:v>☐</x:v>
      </x:c>
      <x:c r="K22" s="3" t="str"/>
    </x:row>
    <x:row r="23" ht="285" customHeight="1">
      <x:c r="A23" s="3" t="str">
        <x:v>N01</x:v>
      </x:c>
      <x:c r="B23" s="17" t="n">
        <x:v>46329</x:v>
      </x:c>
      <x:c r="C23" s="3" t="str">
        <x:v>Accessibility</x:v>
      </x:c>
      <x:c r="D23" s="3" t="str">
        <x:v>Accessibility audit and remediation are different</x:v>
      </x:c>
      <x:c r="E23" s="3" t="str">
        <x:v>COVER: Accessibility audit and remediation are different
SLIDE 2: Audit: identify barriers
SLIDE 3: Prioritise the agreed findings
SLIDE 4: Remediate: make the changes
SLIDE 5: Retest: verify the work
SLIDE 6: Agree scope and evidence
CLOSING: Request a scoped accessibility assessment</x:v>
      </x:c>
      <x:c r="F23" s="3" t="str">
        <x:v>Three-stage flow with an explicit retest loop. Teal accent, plain labels, no shield claiming legal protection.</x:v>
      </x:c>
      <x:c r="G23" s="3" t="str">
        <x:v>0–3s: headline, Accessibility audit and remediation are different.
3–10s: illustrate audit: identify barriers using original design or a tested sample screen.
10–18s: show prioritise the agreed findings.
18–25s: show remediate: make the changes.
25–35s: Request a scoped accessibility assessment. 
Adjust duration to a natural read. This video is an alternative to the carousel, not an extra compulsory post.</x:v>
      </x:c>
      <x:c r="H23" s="3" t="str">
        <x:v>Accessibility audit and remediation are different. Audit: identify barriers. Prioritise the agreed findings. Remediate: make the changes. Request a scoped accessibility assessment.</x:v>
      </x:c>
      <x:c r="I23" s="3" t="str">
        <x:v>Caption spoken audio. Use readable contrast and a phone preview. Alt text is suggested in each channel tab and must match the final graphic. Label sample screens. Use licensed audio. No client names, screenshots, logos or testimonials. Standard approval</x:v>
      </x:c>
      <x:c r="J23" s="23" t="str">
        <x:v>☐</x:v>
      </x:c>
      <x:c r="K23" s="3" t="str"/>
    </x:row>
    <x:row r="24" ht="285" customHeight="1">
      <x:c r="A24" s="3" t="str">
        <x:v>N02</x:v>
      </x:c>
      <x:c r="B24" s="17" t="n">
        <x:v>46332</x:v>
      </x:c>
      <x:c r="C24" s="3" t="str">
        <x:v>Digital card</x:v>
      </x:c>
      <x:c r="D24" s="3" t="str">
        <x:v>Digital card or website: which do you need?</x:v>
      </x:c>
      <x:c r="E24" s="3" t="str">
        <x:v>COVER: Digital card or website: which do you need?
SLIDE 2: Digital card: a concise introduction
SLIDE 3: Website: deeper information and journeys
SLIDE 4: Some businesses need both
SLIDE 5: Start with the customer task
SLIDE 6: Ask which option fits
CLOSING: Discuss the right option</x:v>
      </x:c>
      <x:c r="F24" s="3" t="str">
        <x:v>Split layout of a simple sample profile and an original website wireframe. Equal visual weight, no misleading winner. Illustrative screens labelled.</x:v>
      </x:c>
      <x:c r="G24" s="3" t="str">
        <x:v>0–3s: headline, Digital card or website: which do you need?.
3–10s: illustrate digital card: a concise introduction using original design or a tested sample screen.
10–18s: show website: deeper information and journeys.
18–25s: show some businesses need both.
25–35s: Discuss the right option. 
Adjust duration to a natural read. This video is an alternative to the carousel, not an extra compulsory post.</x:v>
      </x:c>
      <x:c r="H24" s="3" t="str">
        <x:v>Digital card or website: which do you need?. Digital card: a concise introduction. Website: deeper information and journeys. Some businesses need both. Discuss the right option. Subscription prices are quoted plus GST.</x:v>
      </x:c>
      <x:c r="I24" s="3" t="str">
        <x:v>Caption spoken audio. Use readable contrast and a phone preview. Alt text is suggested in each channel tab and must match the final graphic. Label sample screens. Use licensed audio. No client names, screenshots, logos or testimonials. Standard approval</x:v>
      </x:c>
      <x:c r="J24" s="23" t="str">
        <x:v>☐</x:v>
      </x:c>
      <x:c r="K24" s="3" t="str"/>
    </x:row>
    <x:row r="25" ht="285" customHeight="1">
      <x:c r="A25" s="3" t="str">
        <x:v>N03</x:v>
      </x:c>
      <x:c r="B25" s="17" t="n">
        <x:v>46336</x:v>
      </x:c>
      <x:c r="C25" s="3" t="str">
        <x:v>Digital card</x:v>
      </x:c>
      <x:c r="D25" s="3" t="str">
        <x:v>Meet our digital business card</x:v>
      </x:c>
      <x:c r="E25" s="3" t="str">
        <x:v>COVER: Meet our digital business card
SLIDE 2: Meet the digital business card
SLIDE 3: Explore the working demo
SLIDE 4: Compare plan features and limits
SLIDE 5: Subscription prices + GST
SLIDE 6: Review terms before subscribing
CLOSING: View the demo and plans</x:v>
      </x:c>
      <x:c r="F25" s="3" t="str">
        <x:v>40-second real product demo after launch approval: 0–5s introduction, 5–20s profile and two verified actions, 20–30s plans, 30–40s terms and link. Use final branding only.</x:v>
      </x:c>
      <x:c r="G25" s="3" t="str">
        <x:v>0–3s: headline, Meet our digital business card.
3–10s: illustrate meet the digital business card using original design or a tested sample screen.
10–18s: show explore the working demo.
18–25s: show compare plan features and limits.
25–35s: View the demo and plans. 
Adjust duration to a natural read. This video is an alternative to the carousel, not an extra compulsory post.</x:v>
      </x:c>
      <x:c r="H25" s="3" t="str">
        <x:v>Meet our digital business card. Meet the digital business card. Explore the working demo. Compare plan features and limits. View the demo and plans. Subscription prices are quoted plus GST.</x:v>
      </x:c>
      <x:c r="I25" s="3" t="str">
        <x:v>Caption spoken audio. Use readable contrast and a phone preview. Alt text is suggested in each channel tab and must match the final graphic. Label sample screens. Use licensed audio. No client names, screenshots, logos or testimonials. HOLD: provisional launch slot; publish only after explicit launch approval, working billing, terms and support</x:v>
      </x:c>
      <x:c r="J25" s="23" t="str">
        <x:v>☐</x:v>
      </x:c>
      <x:c r="K25" s="3" t="str"/>
    </x:row>
    <x:row r="26" ht="285" customHeight="1">
      <x:c r="A26" s="3" t="str">
        <x:v>N04</x:v>
      </x:c>
      <x:c r="B26" s="17" t="n">
        <x:v>46339</x:v>
      </x:c>
      <x:c r="C26" s="3" t="str">
        <x:v>Digital card</x:v>
      </x:c>
      <x:c r="D26" s="3" t="str">
        <x:v>From signup to your first shared card</x:v>
      </x:c>
      <x:c r="E26" s="3" t="str">
        <x:v>COVER: From signup to your first shared card
SLIDE 2: Choose the appropriate plan
SLIDE 3: Enter accurate business details
SLIDE 4: Preview on a phone
SLIDE 5: Test the available links
SLIDE 6: Share the verified card
CLOSING: Request the product walkthrough</x:v>
      </x:c>
      <x:c r="F26" s="3" t="str">
        <x:v>Captioned real onboarding recording using a fictional test identity. Match every step to the released product. No promise of completion in a fixed number of minutes.</x:v>
      </x:c>
      <x:c r="G26" s="3" t="str">
        <x:v>0–3s: headline, From signup to your first shared card.
3–10s: illustrate choose the appropriate plan using original design or a tested sample screen.
10–18s: show enter accurate business details.
18–25s: show preview on a phone.
25–35s: Request the product walkthrough. 
Adjust duration to a natural read. This video is an alternative to the carousel, not an extra compulsory post.</x:v>
      </x:c>
      <x:c r="H26" s="3" t="str">
        <x:v>From signup to your first shared card. Choose the appropriate plan. Enter accurate business details. Preview on a phone. Request the product walkthrough. Subscription prices are quoted plus GST.</x:v>
      </x:c>
      <x:c r="I26" s="3" t="str">
        <x:v>Caption spoken audio. Use readable contrast and a phone preview. Alt text is suggested in each channel tab and must match the final graphic. Label sample screens. Use licensed audio. No client names, screenshots, logos or testimonials. HOLD unless launched and all shown steps match the released product</x:v>
      </x:c>
      <x:c r="J26" s="23" t="str">
        <x:v>☐</x:v>
      </x:c>
      <x:c r="K26" s="3" t="str"/>
    </x:row>
    <x:row r="27" ht="285" customHeight="1">
      <x:c r="A27" s="3" t="str">
        <x:v>N05</x:v>
      </x:c>
      <x:c r="B27" s="17" t="n">
        <x:v>46343</x:v>
      </x:c>
      <x:c r="C27" s="3" t="str">
        <x:v>Medusa</x:v>
      </x:c>
      <x:c r="D27" s="3" t="str">
        <x:v>What affects custom Medusa.js development cost?</x:v>
      </x:c>
      <x:c r="E27" s="3" t="str">
        <x:v>COVER: What affects custom Medusa.js development cost?
SLIDE 2: Storefront and product catalogue
SLIDE 3: Order and subscription rules
SLIDE 4: Payment integrations
SLIDE 5: Shipping and fulfilment
SLIDE 6: Support and future changes
CLOSING: Request a scoped Medusa.js quote</x:v>
      </x:c>
      <x:c r="F27" s="3" t="str">
        <x:v>Five connected scope blocks in indigo. Use equal-sized rectangles rather than an invented price ladder. Close with a short requirements checklist.</x:v>
      </x:c>
      <x:c r="G27" s="3" t="str">
        <x:v>0–3s: headline, What affects custom Medusa.js development cost?.
3–10s: illustrate storefront and product catalogue using original design or a tested sample screen.
10–18s: show order and subscription rules.
18–25s: show payment integrations.
25–35s: Request a scoped Medusa.js quote. 
Adjust duration to a natural read. This video is an alternative to the carousel, not an extra compulsory post.</x:v>
      </x:c>
      <x:c r="H27" s="3" t="str">
        <x:v>What affects custom Medusa.js development cost?. Storefront and product catalogue. Order and subscription rules. Payment integrations. Request a scoped Medusa.js quote.</x:v>
      </x:c>
      <x:c r="I27" s="3" t="str">
        <x:v>Caption spoken audio. Use readable contrast and a phone preview. Alt text is suggested in each channel tab and must match the final graphic. Label sample screens. Use licensed audio. No client names, screenshots, logos or testimonials. Standard approval</x:v>
      </x:c>
      <x:c r="J27" s="23" t="str">
        <x:v>☐</x:v>
      </x:c>
      <x:c r="K27" s="3" t="str"/>
    </x:row>
    <x:row r="28" ht="285" customHeight="1">
      <x:c r="A28" s="3" t="str">
        <x:v>N06</x:v>
      </x:c>
      <x:c r="B28" s="17" t="n">
        <x:v>46346</x:v>
      </x:c>
      <x:c r="C28" s="3" t="str">
        <x:v>Digital card</x:v>
      </x:c>
      <x:c r="D28" s="3" t="str">
        <x:v>After a meeting, send a useful introduction</x:v>
      </x:c>
      <x:c r="E28" s="3" t="str">
        <x:v>COVER: After a meeting, send a useful introduction
SLIDE 2: Refer to the conversation
SLIDE 3: Share only relevant details
SLIDE 4: Make the next step clear
SLIDE 5: Respect messaging preferences
SLIDE 6: Keep the follow-up personal
CLOSING: Ask about the digital card</x:v>
      </x:c>
      <x:c r="F28" s="3" t="str">
        <x:v>Staged two-person meeting and fictional message overlay. No real contacts, client logos or invented message screenshots presented as genuine. End with a labelled sample profile.</x:v>
      </x:c>
      <x:c r="G28" s="3" t="str">
        <x:v>0–3s: headline, After a meeting, send a useful introduction.
3–10s: illustrate refer to the conversation using original design or a tested sample screen.
10–18s: show share only relevant details.
18–25s: show make the next step clear.
25–35s: Ask about the digital card. 
Adjust duration to a natural read. This video is an alternative to the carousel, not an extra compulsory post.</x:v>
      </x:c>
      <x:c r="H28" s="3" t="str">
        <x:v>After a meeting, send a useful introduction. Refer to the conversation. Share only relevant details. Make the next step clear. Ask about the digital card. Subscription prices are quoted plus GST.</x:v>
      </x:c>
      <x:c r="I28" s="3" t="str">
        <x:v>Caption spoken audio. Use readable contrast and a phone preview. Alt text is suggested in each channel tab and must match the final graphic. Label sample screens. Use licensed audio. No client names, screenshots, logos or testimonials. Standard approval</x:v>
      </x:c>
      <x:c r="J28" s="23" t="str">
        <x:v>☐</x:v>
      </x:c>
      <x:c r="K28" s="3" t="str"/>
    </x:row>
    <x:row r="29" ht="285" customHeight="1">
      <x:c r="A29" s="3" t="str">
        <x:v>N07</x:v>
      </x:c>
      <x:c r="B29" s="17" t="n">
        <x:v>46350</x:v>
      </x:c>
      <x:c r="C29" s="3" t="str">
        <x:v>Portals</x:v>
      </x:c>
      <x:c r="D29" s="3" t="str">
        <x:v>A portal shaped around your organisation</x:v>
      </x:c>
      <x:c r="E29" s="3" t="str">
        <x:v>COVER: A portal shaped around your organisation
SLIDE 2: Real Estate Portal
SLIDE 3: Medical Conference Portal
SLIDE 4: IMA Society Portal
SLIDE 5: Resort Management Portal
SLIDE 6: Customisation and commercial terms are proposal-dependent
CLOSING: Request a portal discussion</x:v>
      </x:c>
      <x:c r="F29" s="3" t="str">
        <x:v>Four original workflow tiles with one sample admin diagram. Do not use PropertyCab as the product name. Mark Demonstration. No unlimited licence, ownership or SaaS-free promise.</x:v>
      </x:c>
      <x:c r="G29" s="3" t="str">
        <x:v>0–3s: headline, A portal shaped around your organisation.
3–10s: illustrate real estate portal using original design or a tested sample screen.
10–18s: show medical conference portal.
18–25s: show ima society portal.
25–35s: Request a portal discussion. 
Adjust duration to a natural read. This video is an alternative to the carousel, not an extra compulsory post.</x:v>
      </x:c>
      <x:c r="H29" s="3" t="str">
        <x:v>A portal shaped around your organisation. Real Estate Portal. Medical Conference Portal. IMA Society Portal. Request a portal discussion.</x:v>
      </x:c>
      <x:c r="I29" s="3" t="str">
        <x:v>Caption spoken audio. Use readable contrast and a phone preview. Alt text is suggested in each channel tab and must match the final graphic. Label sample screens. Use licensed audio. No client names, screenshots, logos or testimonials. Standard approval</x:v>
      </x:c>
      <x:c r="J29" s="23" t="str">
        <x:v>☐</x:v>
      </x:c>
      <x:c r="K29" s="3" t="str"/>
    </x:row>
    <x:row r="30" ht="285" customHeight="1">
      <x:c r="A30" s="3" t="str">
        <x:v>N08</x:v>
      </x:c>
      <x:c r="B30" s="17" t="n">
        <x:v>46353</x:v>
      </x:c>
      <x:c r="C30" s="3" t="str">
        <x:v>Digital card</x:v>
      </x:c>
      <x:c r="D30" s="3" t="str">
        <x:v>Paper and digital cards can work together</x:v>
      </x:c>
      <x:c r="E30" s="3" t="str">
        <x:v>COVER: Paper and digital cards can work together
SLIDE 2: A printed card starts a conversation
SLIDE 3: A digital profile adds another route
SLIDE 4: Test the QR destination
SLIDE 5: Include a readable URL
SLIDE 6: Choose for your audience
CLOSING: Ask about digital card options</x:v>
      </x:c>
      <x:c r="F30" s="3" t="str">
        <x:v>Side-by-side original printed card and sample phone profile. QR placeholder must not be published as a working code. Replace with a tested code only after the final domain is ready.</x:v>
      </x:c>
      <x:c r="G30" s="3" t="str">
        <x:v>0–3s: headline, Paper and digital cards can work together.
3–10s: illustrate a printed card starts a conversation using original design or a tested sample screen.
10–18s: show a digital profile adds another route.
18–25s: show test the qr destination.
25–35s: Ask about digital card options. 
Adjust duration to a natural read. This video is an alternative to the carousel, not an extra compulsory post.</x:v>
      </x:c>
      <x:c r="H30" s="3" t="str">
        <x:v>Paper and digital cards can work together. A printed card starts a conversation. A digital profile adds another route. Test the QR destination. Ask about digital card options. Subscription prices are quoted plus GST.</x:v>
      </x:c>
      <x:c r="I30" s="3" t="str">
        <x:v>Caption spoken audio. Use readable contrast and a phone preview. Alt text is suggested in each channel tab and must match the final graphic. Label sample screens. Use licensed audio. No client names, screenshots, logos or testimonials. Standard approval</x:v>
      </x:c>
      <x:c r="J30" s="23" t="str">
        <x:v>☐</x:v>
      </x:c>
      <x:c r="K30" s="3" t="str"/>
    </x:row>
    <x:row r="31" ht="285" customHeight="1">
      <x:c r="A31" s="3" t="str">
        <x:v>D01</x:v>
      </x:c>
      <x:c r="B31" s="17" t="n">
        <x:v>46357</x:v>
      </x:c>
      <x:c r="C31" s="3" t="str">
        <x:v>Support</x:v>
      </x:c>
      <x:c r="D31" s="3" t="str">
        <x:v>What responsive website support looks like</x:v>
      </x:c>
      <x:c r="E31" s="3" t="str">
        <x:v>COVER: What responsive website support looks like
SLIDE 2: Describe the issue clearly
SLIDE 3: Share steps and a safe screenshot
SLIDE 4: Agree priority and scope
SLIDE 5: Review the change
SLIDE 6: Confirm the issue is resolved
CLOSING: Discuss website support</x:v>
      </x:c>
      <x:c r="F31" s="3" t="str">
        <x:v>Four-panel ticket journey with fictional sample issue, no timestamps implying an SLA. Blue and teal. Avoid customer quotes or a fabricated support rating.</x:v>
      </x:c>
      <x:c r="G31" s="3" t="str">
        <x:v>0–3s: headline, What responsive website support looks like.
3–10s: illustrate describe the issue clearly using original design or a tested sample screen.
10–18s: show share steps and a safe screenshot.
18–25s: show agree priority and scope.
25–35s: Discuss website support. 
Adjust duration to a natural read. This video is an alternative to the carousel, not an extra compulsory post.</x:v>
      </x:c>
      <x:c r="H31" s="3" t="str">
        <x:v>What responsive website support looks like. Describe the issue clearly. Share steps and a safe screenshot. Agree priority and scope. Discuss website support.</x:v>
      </x:c>
      <x:c r="I31" s="3" t="str">
        <x:v>Caption spoken audio. Use readable contrast and a phone preview. Alt text is suggested in each channel tab and must match the final graphic. Label sample screens. Use licensed audio. No client names, screenshots, logos or testimonials. Standard approval</x:v>
      </x:c>
      <x:c r="J31" s="23" t="str">
        <x:v>☐</x:v>
      </x:c>
      <x:c r="K31" s="3" t="str"/>
    </x:row>
    <x:row r="32" ht="285" customHeight="1">
      <x:c r="A32" s="3" t="str">
        <x:v>D02</x:v>
      </x:c>
      <x:c r="B32" s="17" t="n">
        <x:v>46359</x:v>
      </x:c>
      <x:c r="C32" s="3" t="str">
        <x:v>Accessibility</x:v>
      </x:c>
      <x:c r="D32" s="3" t="str">
        <x:v>Digital access should work for more people</x:v>
      </x:c>
      <x:c r="E32" s="3" t="str">
        <x:v>COVER: Digital access should work for more people
SLIDE 2: Readable content
SLIDE 3: Clear form labels
SLIDE 4: Keyboard operation
SLIDE 5: Useful error messages
SLIDE 6: Accessibility is ongoing work
CLOSING: Discuss an accessibility assessment</x:v>
      </x:c>
      <x:c r="F32" s="3" t="str">
        <x:v>Inclusive 25-second interface demo, no pity imagery. Show labels, focus and readable contrast using sample data. Add captions and a clear limitation: Starting checks, not certification.</x:v>
      </x:c>
      <x:c r="G32" s="3" t="str">
        <x:v>0–3s: headline, Digital access should work for more people.
3–10s: illustrate readable content using original design or a tested sample screen.
10–18s: show clear form labels.
18–25s: show keyboard operation.
25–35s: Discuss an accessibility assessment. 
Adjust duration to a natural read. This video is an alternative to the carousel, not an extra compulsory post.</x:v>
      </x:c>
      <x:c r="H32" s="3" t="str">
        <x:v>Digital access should work for more people. Readable content. Clear form labels. Keyboard operation. Discuss an accessibility assessment.</x:v>
      </x:c>
      <x:c r="I32" s="3" t="str">
        <x:v>Caption spoken audio. Use readable contrast and a phone preview. Alt text is suggested in each channel tab and must match the final graphic. Label sample screens. Use licensed audio. No client names, screenshots, logos or testimonials. Standard approval</x:v>
      </x:c>
      <x:c r="J32" s="23" t="str">
        <x:v>☐</x:v>
      </x:c>
      <x:c r="K32" s="3" t="str"/>
    </x:row>
    <x:row r="33" ht="285" customHeight="1">
      <x:c r="A33" s="3" t="str">
        <x:v>D03</x:v>
      </x:c>
      <x:c r="B33" s="17" t="n">
        <x:v>46364</x:v>
      </x:c>
      <x:c r="C33" s="3" t="str">
        <x:v>Digital card</x:v>
      </x:c>
      <x:c r="D33" s="3" t="str">
        <x:v>Are your business details ready for 2027?</x:v>
      </x:c>
      <x:c r="E33" s="3" t="str">
        <x:v>COVER: Are your business details ready for 2027?
SLIDE 2: Check the public phone number
SLIDE 3: Test the email and contact route
SLIDE 4: Update service information
SLIDE 5: Open every link on a phone
SLIDE 6: Keep profiles consistent
CLOSING: Review your business details</x:v>
      </x:c>
      <x:c r="F33" s="3" t="str">
        <x:v>Five checklist panels with a fictional profile card. Never show the developer contact number or real personal data. No claim that the subscription product is live unless confirmed.</x:v>
      </x:c>
      <x:c r="G33" s="3" t="str">
        <x:v>0–3s: headline, Are your business details ready for 2027?.
3–10s: illustrate check the public phone number using original design or a tested sample screen.
10–18s: show test the email and contact route.
18–25s: show update service information.
25–35s: Review your business details. 
Adjust duration to a natural read. This video is an alternative to the carousel, not an extra compulsory post.</x:v>
      </x:c>
      <x:c r="H33" s="3" t="str">
        <x:v>Are your business details ready for 2027?. Check the public phone number. Test the email and contact route. Update service information. Review your business details. Subscription prices are quoted plus GST.</x:v>
      </x:c>
      <x:c r="I33" s="3" t="str">
        <x:v>Caption spoken audio. Use readable contrast and a phone preview. Alt text is suggested in each channel tab and must match the final graphic. Label sample screens. Use licensed audio. No client names, screenshots, logos or testimonials. Standard approval</x:v>
      </x:c>
      <x:c r="J33" s="23" t="str">
        <x:v>☐</x:v>
      </x:c>
      <x:c r="K33" s="3" t="str"/>
    </x:row>
    <x:row r="34" ht="285" customHeight="1">
      <x:c r="A34" s="3" t="str">
        <x:v>D04</x:v>
      </x:c>
      <x:c r="B34" s="17" t="n">
        <x:v>46367</x:v>
      </x:c>
      <x:c r="C34" s="3" t="str">
        <x:v>Websites</x:v>
      </x:c>
      <x:c r="D34" s="3" t="str">
        <x:v>Plan your 2027 website before the rush</x:v>
      </x:c>
      <x:c r="E34" s="3" t="str">
        <x:v>COVER: Plan your 2027 website before the rush
SLIDE 2: Define the main business goal
SLIDE 3: List content and integrations
SLIDE 4: Set a realistic budget
SLIDE 5: Agree who approves decisions
SLIDE 6: Include support after launch
CLOSING: Request a website planning quote</x:v>
      </x:c>
      <x:c r="F34" s="3" t="str">
        <x:v>Six-slide planning workbook aesthetic, cream and blue with orange tabs. Final slide is an empty original brief template, not a real proposal.</x:v>
      </x:c>
      <x:c r="G34" s="3" t="str">
        <x:v>0–3s: headline, Plan your 2027 website before the rush.
3–10s: illustrate define the main business goal using original design or a tested sample screen.
10–18s: show list content and integrations.
18–25s: show set a realistic budget.
25–35s: Request a website planning quote. 
Adjust duration to a natural read. This video is an alternative to the carousel, not an extra compulsory post.</x:v>
      </x:c>
      <x:c r="H34" s="3" t="str">
        <x:v>Plan your 2027 website before the rush. Define the main business goal. List content and integrations. Set a realistic budget. Request a website planning quote.</x:v>
      </x:c>
      <x:c r="I34" s="3" t="str">
        <x:v>Caption spoken audio. Use readable contrast and a phone preview. Alt text is suggested in each channel tab and must match the final graphic. Label sample screens. Use licensed audio. No client names, screenshots, logos or testimonials. Standard approval</x:v>
      </x:c>
      <x:c r="J34" s="23" t="str">
        <x:v>☐</x:v>
      </x:c>
      <x:c r="K34" s="3" t="str"/>
    </x:row>
    <x:row r="35" ht="285" customHeight="1">
      <x:c r="A35" s="3" t="str">
        <x:v>D05</x:v>
      </x:c>
      <x:c r="B35" s="17" t="n">
        <x:v>46371</x:v>
      </x:c>
      <x:c r="C35" s="3" t="str">
        <x:v>Commerce</x:v>
      </x:c>
      <x:c r="D35" s="3" t="str">
        <x:v>A custom commerce workflow, explained simply</x:v>
      </x:c>
      <x:c r="E35" s="3" t="str">
        <x:v>COVER: A custom commerce workflow, explained simply
SLIDE 2: Customer browses and orders
SLIDE 3: Payment status is confirmed
SLIDE 4: Recurring rules apply if required
SLIDE 5: Fulfilment receives instructions
SLIDE 6: Support can follow the order journey
CLOSING: Discuss your commerce workflow</x:v>
      </x:c>
      <x:c r="F35" s="3" t="str">
        <x:v>30-second animated original diagram, storefront to payments to fulfilment with a support loop. Label Illustrative workflow. No revenue counter, live payments or client screenshots.</x:v>
      </x:c>
      <x:c r="G35" s="3" t="str">
        <x:v>0–3s: headline, A custom commerce workflow, explained simply.
3–10s: illustrate customer browses and orders using original design or a tested sample screen.
10–18s: show payment status is confirmed.
18–25s: show recurring rules apply if required.
25–35s: Discuss your commerce workflow. 
Adjust duration to a natural read. This video is an alternative to the carousel, not an extra compulsory post.</x:v>
      </x:c>
      <x:c r="H35" s="3" t="str">
        <x:v>A custom commerce workflow, explained simply. Customer browses and orders. Payment status is confirmed. Recurring rules apply if required. Discuss your commerce workflow.</x:v>
      </x:c>
      <x:c r="I35" s="3" t="str">
        <x:v>Caption spoken audio. Use readable contrast and a phone preview. Alt text is suggested in each channel tab and must match the final graphic. Label sample screens. Use licensed audio. No client names, screenshots, logos or testimonials. Standard approval</x:v>
      </x:c>
      <x:c r="J35" s="23" t="str">
        <x:v>☐</x:v>
      </x:c>
      <x:c r="K35" s="3" t="str"/>
    </x:row>
    <x:row r="36" ht="285" customHeight="1">
      <x:c r="A36" s="3" t="str">
        <x:v>D06</x:v>
      </x:c>
      <x:c r="B36" s="17" t="n">
        <x:v>46374</x:v>
      </x:c>
      <x:c r="C36" s="3" t="str">
        <x:v>Digital card</x:v>
      </x:c>
      <x:c r="D36" s="3" t="str">
        <x:v>Read the subscription details before you choose</x:v>
      </x:c>
      <x:c r="E36" s="3" t="str">
        <x:v>COVER: Read the subscription details before you choose
SLIDE 2: What features are included?
SLIDE 3: How often is the plan billed?
SLIDE 4: What limits apply?
SLIDE 5: How do renewal and cancellation work?
SLIDE 6: Prices are quoted + GST
CLOSING: Request subscription plan details</x:v>
      </x:c>
      <x:c r="F36" s="3" t="str">
        <x:v>Clean five-panel plan-reading guide. Do not invent a tier, free plan, fee or cancellation promise. Insert actual prices only after approval, always beside + GST.</x:v>
      </x:c>
      <x:c r="G36" s="3" t="str">
        <x:v>0–3s: headline, Read the subscription details before you choose.
3–10s: illustrate what features are included? using original design or a tested sample screen.
10–18s: show how often is the plan billed?.
18–25s: show what limits apply?.
25–35s: Request subscription plan details. 
Adjust duration to a natural read. This video is an alternative to the carousel, not an extra compulsory post.</x:v>
      </x:c>
      <x:c r="H36" s="3" t="str">
        <x:v>Read the subscription details before you choose. What features are included?. How often is the plan billed?. What limits apply?. Request subscription plan details. Subscription prices are quoted plus GST.</x:v>
      </x:c>
      <x:c r="I36" s="3" t="str">
        <x:v>Caption spoken audio. Use readable contrast and a phone preview. Alt text is suggested in each channel tab and must match the final graphic. Label sample screens. Use licensed audio. No client names, screenshots, logos or testimonials. Approve plan terms before adding prices or purchase link</x:v>
      </x:c>
      <x:c r="J36" s="23" t="str">
        <x:v>☐</x:v>
      </x:c>
      <x:c r="K36" s="3" t="str"/>
    </x:row>
    <x:row r="37" ht="285" customHeight="1">
      <x:c r="A37" s="3" t="str">
        <x:v>D07</x:v>
      </x:c>
      <x:c r="B37" s="17" t="n">
        <x:v>46378</x:v>
      </x:c>
      <x:c r="C37" s="3" t="str">
        <x:v>Websites</x:v>
      </x:c>
      <x:c r="D37" s="3" t="str">
        <x:v>Small website details worth getting right</x:v>
      </x:c>
      <x:c r="E37" s="3" t="str">
        <x:v>COVER: Small website details worth getting right
SLIDE 2: Read the text on a phone
SLIDE 3: Use the mobile menu
SLIDE 4: Check product and service details
SLIDE 5: Test forms and contact routes
SLIDE 6: Review keyboard focus
CLOSING: Discuss website improvements</x:v>
      </x:c>
      <x:c r="F37" s="3" t="str">
        <x:v>Six short original demo clips or six-slide carousel. One detail per frame, blue base with teal accents. No portfolio montage or client logos.</x:v>
      </x:c>
      <x:c r="G37" s="3" t="str">
        <x:v>0–3s: headline, Small website details worth getting right.
3–10s: illustrate read the text on a phone using original design or a tested sample screen.
10–18s: show use the mobile menu.
18–25s: show check product and service details.
25–35s: Discuss website improvements. 
Adjust duration to a natural read. This video is an alternative to the carousel, not an extra compulsory post.</x:v>
      </x:c>
      <x:c r="H37" s="3" t="str">
        <x:v>Small website details worth getting right. Read the text on a phone. Use the mobile menu. Check product and service details. Discuss website improvements.</x:v>
      </x:c>
      <x:c r="I37" s="3" t="str">
        <x:v>Caption spoken audio. Use readable contrast and a phone preview. Alt text is suggested in each channel tab and must match the final graphic. Label sample screens. Use licensed audio. No client names, screenshots, logos or testimonials. Standard approval</x:v>
      </x:c>
      <x:c r="J37" s="23" t="str">
        <x:v>☐</x:v>
      </x:c>
      <x:c r="K37" s="3" t="str"/>
    </x:row>
    <x:row r="38" ht="285" customHeight="1">
      <x:c r="A38" s="3" t="str">
        <x:v>D08</x:v>
      </x:c>
      <x:c r="B38" s="17" t="n">
        <x:v>46381</x:v>
      </x:c>
      <x:c r="C38" s="3" t="str">
        <x:v>Greeting</x:v>
      </x:c>
      <x:c r="D38" s="3" t="str">
        <x:v>Wishing you a warm and peaceful Christmas</x:v>
      </x:c>
      <x:c r="E38" s="3" t="str">
        <x:v>COVER: Wishing you a warm and peaceful Christmas
SLIDE 2: Merry Christmas
SLIDE 3: Warm wishes from eLan Technology
SLIDE 4: Wishing you a peaceful holiday season
CLOSING: No sales CTA</x:v>
      </x:c>
      <x:c r="F38" s="3" t="str">
        <x:v>Bright cream card, fine blue line illustration of a tree with a small orange star. Minimal five-second animation optional. No price, sale, client assets or CTA.</x:v>
      </x:c>
      <x:c r="G38" s="3" t="str">
        <x:v>0–3s: headline, Wishing you a warm and peaceful Christmas.
3–10s: illustrate merry christmas using original design or a tested sample screen.
10–18s: show warm wishes from elan technology.
18–25s: show wishing you a peaceful holiday season.
25–35s: No sales CTA. 
Adjust duration to a natural read. This video is an alternative to the carousel, not an extra compulsory post.</x:v>
      </x:c>
      <x:c r="H38" s="3" t="str">
        <x:v>Wishing you a warm and peaceful Christmas. Merry Christmas. Warm wishes from eLan Technology. Wishing you a peaceful holiday season. Warm wishes from eLan Technology.</x:v>
      </x:c>
      <x:c r="I38" s="3" t="str">
        <x:v>Caption spoken audio. Use readable contrast and a phone preview. Alt text is suggested in each channel tab and must match the final graphic. Label sample screens. Use licensed audio. No client names, screenshots, logos or testimonials. Standard approval</x:v>
      </x:c>
      <x:c r="J38" s="23" t="str">
        <x:v>☐</x:v>
      </x:c>
      <x:c r="K38" s="3" t="str"/>
    </x:row>
    <x:row r="39" ht="285" customHeight="1">
      <x:c r="A39" s="3" t="str">
        <x:v>D09</x:v>
      </x:c>
      <x:c r="B39" s="17" t="n">
        <x:v>46385</x:v>
      </x:c>
      <x:c r="C39" s="3" t="str">
        <x:v>Websites</x:v>
      </x:c>
      <x:c r="D39" s="3" t="str">
        <x:v>What should work better for your business next year?</x:v>
      </x:c>
      <x:c r="E39" s="3" t="str">
        <x:v>COVER: What should work better for your business next year?
SLIDE 2: Make introductions easier
SLIDE 3: Explain services more clearly
SLIDE 4: Improve the shopping journey
SLIDE 5: Choose one priority
SLIDE 6: Plan the next step around it
CLOSING: Tell us your 2027 priority</x:v>
      </x:c>
      <x:c r="F39" s="3" t="str">
        <x:v>Three distinct rectangular panels: introduction, business website, commerce. Original icons and sample layouts. Keep subscription product and development services separate.</x:v>
      </x:c>
      <x:c r="G39" s="3" t="str">
        <x:v>0–3s: headline, What should work better for your business next year?.
3–10s: illustrate make introductions easier using original design or a tested sample screen.
10–18s: show explain services more clearly.
18–25s: show improve the shopping journey.
25–35s: Tell us your 2027 priority. 
Adjust duration to a natural read. This video is an alternative to the carousel, not an extra compulsory post.</x:v>
      </x:c>
      <x:c r="H39" s="3" t="str">
        <x:v>What should work better for your business next year?. Make introductions easier. Explain services more clearly. Improve the shopping journey. Tell us your 2027 priority.</x:v>
      </x:c>
      <x:c r="I39" s="3" t="str">
        <x:v>Caption spoken audio. Use readable contrast and a phone preview. Alt text is suggested in each channel tab and must match the final graphic. Label sample screens. Use licensed audio. No client names, screenshots, logos or testimonials. Standard approval</x:v>
      </x:c>
      <x:c r="J39" s="23" t="str">
        <x:v>☐</x:v>
      </x:c>
      <x:c r="K39" s="3" t="str"/>
    </x:row>
    <x:row r="40" ht="285" customHeight="1">
      <x:c r="A40" s="3" t="str">
        <x:v>D10</x:v>
      </x:c>
      <x:c r="B40" s="17" t="n">
        <x:v>46387</x:v>
      </x:c>
      <x:c r="C40" s="3" t="str">
        <x:v>Greeting</x:v>
      </x:c>
      <x:c r="D40" s="3" t="str">
        <x:v>Thank you for being part of our year</x:v>
      </x:c>
      <x:c r="E40" s="3" t="str">
        <x:v>COVER: Thank you for being part of our year
SLIDE 2: Thank you for being part of our year
SLIDE 3: Here is to thoughtful work and clear communication
SLIDE 4: Wishing you a happy 2027
SLIDE 5: From eLan Technology
CLOSING: No sales CTA</x:v>
      </x:c>
      <x:c r="F40" s="3" t="str">
        <x:v>20-second genuine founder thank-you, or a clean typographic animation. No client montage, invented annual totals or unapproved team claims.</x:v>
      </x:c>
      <x:c r="G40" s="3" t="str">
        <x:v>0–3s: headline, Thank you for being part of our year.
3–10s: illustrate thank you for being part of our year using original design or a tested sample screen.
10–18s: show here is to thoughtful work and clear communication.
18–25s: show wishing you a happy 2027.
25–35s: No sales CTA. 
Adjust duration to a natural read. This video is an alternative to the carousel, not an extra compulsory post.</x:v>
      </x:c>
      <x:c r="H40" s="3" t="str">
        <x:v>Thank you for being part of our year. Thank you for being part of our year. Here is to thoughtful work and clear communication. Wishing you a happy 2027. Warm wishes from eLan Technology.</x:v>
      </x:c>
      <x:c r="I40" s="3" t="str">
        <x:v>Caption spoken audio. Use readable contrast and a phone preview. Alt text is suggested in each channel tab and must match the final graphic. Label sample screens. Use licensed audio. No client names, screenshots, logos or testimonials. Standard approval</x:v>
      </x:c>
      <x:c r="J40" s="23" t="str">
        <x:v>☐</x:v>
      </x:c>
      <x:c r="K40" s="3" t="str"/>
    </x:row>
  </x:sheetData>
  <x:conditionalFormatting sqref="J6:J40">
    <x:cfRule type="cellIs" dxfId="14" priority="1" operator="equal">
      <x:formula>"✓"</x:formula>
    </x:cfRule>
  </x:conditionalFormatting>
  <x:dataValidations count="1">
    <x:dataValidation type="list" sqref="J6:J40">
      <x:formula1>"☐,✓"</x:formula1>
    </x:dataValidation>
  </x:dataValidations>
  <x:pageMargins left="0.7" right="0.7" top="0.75" bottom="0.75" header="0.3" footer="0.3"/>
  <x:tableParts count="1">
    <x:tablePart xmlns:r="http://schemas.openxmlformats.org/officeDocument/2006/relationships" r:id="R18cc6006cb3e41ea"/>
  </x:tableParts>
</x:worksheet>
</file>

<file path=xl/worksheets/sheet10.xml><?xml version="1.0" encoding="utf-8"?>
<x:worksheet xmlns:x="http://schemas.openxmlformats.org/spreadsheetml/2006/main">
  <x:sheetPr>
    <x:tabColor rgb="FF173C65"/>
  </x:sheetPr>
  <x:sheetViews>
    <x:sheetView showGridLines="0" workbookViewId="0">
      <x:pane ySplit="5" topLeftCell="A6" activePane="bottomLeft" state="frozen"/>
    </x:sheetView>
  </x:sheetViews>
  <x:sheetFormatPr defaultRowHeight="15"/>
  <x:cols>
    <x:col min="1" max="1" width="12" hidden="0" customWidth="1"/>
    <x:col min="2" max="2" width="16" hidden="0" customWidth="1"/>
    <x:col min="3" max="3" width="22" hidden="0" customWidth="1"/>
    <x:col min="4" max="4" width="37" hidden="0" customWidth="1"/>
    <x:col min="5" max="5" width="100" hidden="0" customWidth="1"/>
    <x:col min="6" max="6" width="20" hidden="0" customWidth="1"/>
    <x:col min="7" max="7" width="45" hidden="0" customWidth="1"/>
    <x:col min="8" max="8" width="18" hidden="0" customWidth="1"/>
  </x:cols>
  <x:sheetData>
    <x:row r="1" ht="28" customHeight="1">
      <x:c r="A1" s="5" t="str">
        <x:v>Account and campaign tasks</x:v>
      </x:c>
      <x:c r="B1" s="3"/>
      <x:c r="C1" s="3"/>
      <x:c r="D1" s="3"/>
      <x:c r="E1" s="3"/>
      <x:c r="F1" s="3"/>
      <x:c r="G1" s="3"/>
      <x:c r="H1" s="3"/>
    </x:row>
    <x:row r="2" ht="22" customHeight="1">
      <x:c r="A2" s="7" t="str">
        <x:v>Tick completion after the action is verified. No account changes or scheduling have been performed by creating this workbook.</x:v>
      </x:c>
      <x:c r="B2" s="3"/>
      <x:c r="C2" s="3"/>
      <x:c r="D2" s="3"/>
      <x:c r="E2" s="3"/>
      <x:c r="F2" s="3"/>
      <x:c r="G2" s="3"/>
      <x:c r="H2" s="3"/>
    </x:row>
    <x:row r="3">
      <x:c r="A3" s="8"/>
      <x:c r="B3" s="8"/>
      <x:c r="C3" s="8"/>
      <x:c r="D3" s="8"/>
      <x:c r="E3" s="8"/>
      <x:c r="F3" s="8"/>
      <x:c r="G3" s="8"/>
      <x:c r="H3" s="8"/>
    </x:row>
    <x:row r="4">
      <x:c r="A4" s="3"/>
      <x:c r="B4" s="3"/>
      <x:c r="C4" s="3"/>
      <x:c r="D4" s="3"/>
      <x:c r="E4" s="3"/>
      <x:c r="F4" s="3"/>
      <x:c r="G4" s="3"/>
      <x:c r="H4" s="3"/>
    </x:row>
    <x:row r="5" ht="36" customHeight="1">
      <x:c r="A5" s="12" t="str">
        <x:v>Done</x:v>
      </x:c>
      <x:c r="B5" s="13" t="str">
        <x:v>Due date</x:v>
      </x:c>
      <x:c r="C5" s="13" t="str">
        <x:v>Channel / track</x:v>
      </x:c>
      <x:c r="D5" s="13" t="str">
        <x:v>Task</x:v>
      </x:c>
      <x:c r="E5" s="13" t="str">
        <x:v>Detailed action</x:v>
      </x:c>
      <x:c r="F5" s="13" t="str">
        <x:v>Owner</x:v>
      </x:c>
      <x:c r="G5" s="13" t="str">
        <x:v>Evidence / notes</x:v>
      </x:c>
      <x:c r="H5" s="14" t="str">
        <x:v>Completed date</x:v>
      </x:c>
    </x:row>
    <x:row r="6" ht="95" customHeight="1">
      <x:c r="A6" s="23" t="str">
        <x:v>☐</x:v>
      </x:c>
      <x:c r="B6" s="17" t="n">
        <x:v>46276</x:v>
      </x:c>
      <x:c r="C6" s="3" t="str">
        <x:v>All channels</x:v>
      </x:c>
      <x:c r="D6" s="3" t="str">
        <x:v>Verify public business details</x:v>
      </x:c>
      <x:c r="E6" s="3" t="str">
        <x:v>Use eLan Technology, correct approved contact information and links. Operations began in 2002; official launch was 15 August 2005. Omit awards and team-size claims.</x:v>
      </x:c>
      <x:c r="F6" s="3" t="str"/>
      <x:c r="G6" s="3" t="str"/>
      <x:c r="H6" s="17"/>
    </x:row>
    <x:row r="7" ht="95" customHeight="1">
      <x:c r="A7" s="23" t="str">
        <x:v>☐</x:v>
      </x:c>
      <x:c r="B7" s="17" t="n">
        <x:v>46276</x:v>
      </x:c>
      <x:c r="C7" s="3" t="str">
        <x:v>All channels</x:v>
      </x:c>
      <x:c r="D7" s="3" t="str">
        <x:v>Capture baseline account results</x:v>
      </x:c>
      <x:c r="E7" s="3" t="str">
        <x:v>Record actual followers, reach, profile visits and clicks in platform exports. Search reports are not social account baselines. Do not invent figures.</x:v>
      </x:c>
      <x:c r="F7" s="3" t="str"/>
      <x:c r="G7" s="3" t="str"/>
      <x:c r="H7" s="17"/>
    </x:row>
    <x:row r="8" ht="95" customHeight="1">
      <x:c r="A8" s="23" t="str">
        <x:v>☐</x:v>
      </x:c>
      <x:c r="B8" s="17" t="n">
        <x:v>46276</x:v>
      </x:c>
      <x:c r="C8" s="3" t="str">
        <x:v>All channels</x:v>
      </x:c>
      <x:c r="D8" s="3" t="str">
        <x:v>Test enquiry delivery</x:v>
      </x:c>
      <x:c r="E8" s="3" t="str">
        <x:v>Submit controlled test enquiries, verify inbox alerts and log delivery. Assign an inbox owner. Do not store customer personal data in this workbook.</x:v>
      </x:c>
      <x:c r="F8" s="3" t="str"/>
      <x:c r="G8" s="3" t="str"/>
      <x:c r="H8" s="17"/>
    </x:row>
    <x:row r="9" ht="95" customHeight="1">
      <x:c r="A9" s="23" t="str">
        <x:v>☐</x:v>
      </x:c>
      <x:c r="B9" s="17" t="n">
        <x:v>46276</x:v>
      </x:c>
      <x:c r="C9" s="3" t="str">
        <x:v>Facebook</x:v>
      </x:c>
      <x:c r="D9" s="3" t="str">
        <x:v>Review Page contact buttons</x:v>
      </x:c>
      <x:c r="E9" s="3" t="str">
        <x:v>Verify website, category and contact action on a phone. Prepare offer pin only after approval.</x:v>
      </x:c>
      <x:c r="F9" s="3" t="str"/>
      <x:c r="G9" s="3" t="str"/>
      <x:c r="H9" s="17"/>
    </x:row>
    <x:row r="10" ht="95" customHeight="1">
      <x:c r="A10" s="23" t="str">
        <x:v>☐</x:v>
      </x:c>
      <x:c r="B10" s="17" t="n">
        <x:v>46276</x:v>
      </x:c>
      <x:c r="C10" s="3" t="str">
        <x:v>Instagram</x:v>
      </x:c>
      <x:c r="D10" s="3" t="str">
        <x:v>Refresh bio and Highlights</x:v>
      </x:c>
      <x:c r="E10" s="3" t="str">
        <x:v>Use clear service wording and the tested profile link. Highlights: Websites, Commerce, Accessibility, FAQs. Add digital card only when approved. No client assets for now.</x:v>
      </x:c>
      <x:c r="F10" s="3" t="str"/>
      <x:c r="G10" s="3" t="str"/>
      <x:c r="H10" s="17"/>
    </x:row>
    <x:row r="11" ht="95" customHeight="1">
      <x:c r="A11" s="23" t="str">
        <x:v>☐</x:v>
      </x:c>
      <x:c r="B11" s="17" t="n">
        <x:v>46276</x:v>
      </x:c>
      <x:c r="C11" s="3" t="str">
        <x:v>LinkedIn</x:v>
      </x:c>
      <x:c r="D11" s="3" t="str">
        <x:v>Update company description</x:v>
      </x:c>
      <x:c r="E11" s="3" t="str">
        <x:v>Describe custom commerce, accessibility-first development and business websites. Verify dates and links. No unapproved compliance or results claims.</x:v>
      </x:c>
      <x:c r="F11" s="3" t="str"/>
      <x:c r="G11" s="3" t="str"/>
      <x:c r="H11" s="17"/>
    </x:row>
    <x:row r="12" ht="95" customHeight="1">
      <x:c r="A12" s="23" t="str">
        <x:v>☐</x:v>
      </x:c>
      <x:c r="B12" s="17" t="n">
        <x:v>46276</x:v>
      </x:c>
      <x:c r="C12" s="3" t="str">
        <x:v>Google Business</x:v>
      </x:c>
      <x:c r="D12" s="3" t="str">
        <x:v>Review real profile information</x:v>
      </x:c>
      <x:c r="E12" s="3" t="str">
        <x:v>Check actual address, hours, services and website. Do not create fictional city locations or keyword-stuff the business name.</x:v>
      </x:c>
      <x:c r="F12" s="3" t="str"/>
      <x:c r="G12" s="3" t="str"/>
      <x:c r="H12" s="17"/>
    </x:row>
    <x:row r="13" ht="95" customHeight="1">
      <x:c r="A13" s="23" t="str">
        <x:v>☐</x:v>
      </x:c>
      <x:c r="B13" s="17" t="n">
        <x:v>46276</x:v>
      </x:c>
      <x:c r="C13" s="3" t="str">
        <x:v>Pinterest</x:v>
      </x:c>
      <x:c r="D13" s="3" t="str">
        <x:v>Create descriptive boards</x:v>
      </x:c>
      <x:c r="E13" s="3" t="str">
        <x:v>Business Website Planning; Shopify and Commerce; Website Accessibility; Digital Business Cards. Use owned content and relevant destinations.</x:v>
      </x:c>
      <x:c r="F13" s="3" t="str"/>
      <x:c r="G13" s="3" t="str"/>
      <x:c r="H13" s="17"/>
    </x:row>
    <x:row r="14" ht="95" customHeight="1">
      <x:c r="A14" s="23" t="str">
        <x:v>☐</x:v>
      </x:c>
      <x:c r="B14" s="17" t="n">
        <x:v>46276</x:v>
      </x:c>
      <x:c r="C14" s="3" t="str">
        <x:v>WhatsApp</x:v>
      </x:c>
      <x:c r="D14" s="3" t="str">
        <x:v>Prepare quick replies</x:v>
      </x:c>
      <x:c r="E14" s="3" t="str">
        <x:v>Offer details, quote requirements, accessibility scope, card interest and support. Truthful business hours. Promotional messages only with permission.</x:v>
      </x:c>
      <x:c r="F14" s="3" t="str"/>
      <x:c r="G14" s="3" t="str"/>
      <x:c r="H14" s="17"/>
    </x:row>
    <x:row r="15" ht="95" customHeight="1">
      <x:c r="A15" s="23" t="str">
        <x:v>☐</x:v>
      </x:c>
      <x:c r="B15" s="17" t="n">
        <x:v>46277</x:v>
      </x:c>
      <x:c r="C15" s="3" t="str">
        <x:v>Launchpad</x:v>
      </x:c>
      <x:c r="D15" s="3" t="str">
        <x:v>Approve offer terms</x:v>
      </x:c>
      <x:c r="E15" s="3" t="str">
        <x:v>Confirm pages, revisions, content, hosting/support, exclusions, payment terms and closing time. Price ₹32,000 + GST. No invented scope.</x:v>
      </x:c>
      <x:c r="F15" s="3" t="str"/>
      <x:c r="G15" s="3" t="str"/>
      <x:c r="H15" s="17"/>
    </x:row>
    <x:row r="16" ht="95" customHeight="1">
      <x:c r="A16" s="23" t="str">
        <x:v>☐</x:v>
      </x:c>
      <x:c r="B16" s="17" t="n">
        <x:v>46279</x:v>
      </x:c>
      <x:c r="C16" s="3" t="str">
        <x:v>Digital card</x:v>
      </x:c>
      <x:c r="D16" s="3" t="str">
        <x:v>Confirm domain availability</x:v>
      </x:c>
      <x:c r="E16" s="3" t="str">
        <x:v>Record final approved domain when available. Availability is not launch approval. Test DNS, HTTPS and actual destination before public links.</x:v>
      </x:c>
      <x:c r="F16" s="3" t="str"/>
      <x:c r="G16" s="3" t="str"/>
      <x:c r="H16" s="17"/>
    </x:row>
    <x:row r="17" ht="95" customHeight="1">
      <x:c r="A17" s="23" t="str">
        <x:v>☐</x:v>
      </x:c>
      <x:c r="B17" s="17" t="n">
        <x:v>46279</x:v>
      </x:c>
      <x:c r="C17" s="3" t="str">
        <x:v>Launchpad</x:v>
      </x:c>
      <x:c r="D17" s="3" t="str">
        <x:v>Activate approved offer links</x:v>
      </x:c>
      <x:c r="E17" s="3" t="str">
        <x:v>Test landing page on a phone. Use one approved plan, ₹32,000 + GST, from 14–25 September 2026.</x:v>
      </x:c>
      <x:c r="F17" s="3" t="str"/>
      <x:c r="G17" s="3" t="str"/>
      <x:c r="H17" s="17"/>
    </x:row>
    <x:row r="18" ht="95" customHeight="1">
      <x:c r="A18" s="23" t="str">
        <x:v>☐</x:v>
      </x:c>
      <x:c r="B18" s="17" t="n">
        <x:v>46291</x:v>
      </x:c>
      <x:c r="C18" s="3" t="str">
        <x:v>Launchpad</x:v>
      </x:c>
      <x:c r="D18" s="3" t="str">
        <x:v>Close active offer promotion</x:v>
      </x:c>
      <x:c r="E18" s="3" t="str">
        <x:v>Unpin active sales posts, update website offer state and mark expired destinations clearly. Keep historical dates, do not silently extend the offer.</x:v>
      </x:c>
      <x:c r="F18" s="3" t="str"/>
      <x:c r="G18" s="3" t="str"/>
      <x:c r="H18" s="17"/>
    </x:row>
    <x:row r="19" ht="95" customHeight="1">
      <x:c r="A19" s="23" t="str">
        <x:v>☐</x:v>
      </x:c>
      <x:c r="B19" s="17" t="n">
        <x:v>46304</x:v>
      </x:c>
      <x:c r="C19" s="3" t="str">
        <x:v>Digital card</x:v>
      </x:c>
      <x:c r="D19" s="3" t="str">
        <x:v>Approve pilot terms</x:v>
      </x:c>
      <x:c r="E19" s="3" t="str">
        <x:v>Confirm usable product, pilot scope, duration, privacy and support. No free-lifetime promise or required positive review.</x:v>
      </x:c>
      <x:c r="F19" s="3" t="str"/>
      <x:c r="G19" s="3" t="str"/>
      <x:c r="H19" s="17"/>
    </x:row>
    <x:row r="20" ht="95" customHeight="1">
      <x:c r="A20" s="23" t="str">
        <x:v>☐</x:v>
      </x:c>
      <x:c r="B20" s="17" t="n">
        <x:v>46325</x:v>
      </x:c>
      <x:c r="C20" s="3" t="str">
        <x:v>Digital card</x:v>
      </x:c>
      <x:c r="D20" s="3" t="str">
        <x:v>Decide launch readiness</x:v>
      </x:c>
      <x:c r="E20" s="3" t="str">
        <x:v>Approve brand/domain, actual features, subscription prices + GST, billing, cancellation, renewal, privacy, support and testing. 10 November is provisional only.</x:v>
      </x:c>
      <x:c r="F20" s="3" t="str"/>
      <x:c r="G20" s="3" t="str"/>
      <x:c r="H20" s="17"/>
    </x:row>
    <x:row r="21" ht="95" customHeight="1">
      <x:c r="A21" s="23" t="str">
        <x:v>☐</x:v>
      </x:c>
      <x:c r="B21" s="17" t="n">
        <x:v>46335</x:v>
      </x:c>
      <x:c r="C21" s="3" t="str">
        <x:v>Digital card</x:v>
      </x:c>
      <x:c r="D21" s="3" t="str">
        <x:v>Release or replace launch drafts</x:v>
      </x:c>
      <x:c r="E21" s="3" t="str">
        <x:v>If approved, insert real product URLs and final terms. Otherwise use the fallback copy and move launch/onboarding together.</x:v>
      </x:c>
      <x:c r="F21" s="3" t="str"/>
      <x:c r="G21" s="3" t="str"/>
      <x:c r="H21" s="17"/>
    </x:row>
    <x:row r="22" ht="95" customHeight="1">
      <x:c r="A22" s="23" t="str">
        <x:v>☐</x:v>
      </x:c>
      <x:c r="B22" s="17" t="n">
        <x:v>46291</x:v>
      </x:c>
      <x:c r="C22" s="3" t="str">
        <x:v>All channels</x:v>
      </x:c>
      <x:c r="D22" s="3" t="str">
        <x:v>Review campaign results</x:v>
      </x:c>
      <x:c r="E22" s="3" t="str">
        <x:v>Review published posts, meaningful replies, clicks and qualified enquiries. Keep card subscriptions separate from agency leads. Do not interpret a click as a delivered enquiry.</x:v>
      </x:c>
      <x:c r="F22" s="3" t="str"/>
      <x:c r="G22" s="3" t="str"/>
      <x:c r="H22" s="17"/>
    </x:row>
    <x:row r="23" ht="95" customHeight="1">
      <x:c r="A23" s="23" t="str">
        <x:v>☐</x:v>
      </x:c>
      <x:c r="B23" s="17" t="n">
        <x:v>46295</x:v>
      </x:c>
      <x:c r="C23" s="3" t="str">
        <x:v>All channels</x:v>
      </x:c>
      <x:c r="D23" s="3" t="str">
        <x:v>Review campaign results</x:v>
      </x:c>
      <x:c r="E23" s="3" t="str">
        <x:v>Review published posts, meaningful replies, clicks and qualified enquiries. Keep card subscriptions separate from agency leads. Do not interpret a click as a delivered enquiry.</x:v>
      </x:c>
      <x:c r="F23" s="3" t="str"/>
      <x:c r="G23" s="3" t="str"/>
      <x:c r="H23" s="17"/>
    </x:row>
    <x:row r="24" ht="95" customHeight="1">
      <x:c r="A24" s="23" t="str">
        <x:v>☐</x:v>
      </x:c>
      <x:c r="B24" s="17" t="n">
        <x:v>46325</x:v>
      </x:c>
      <x:c r="C24" s="3" t="str">
        <x:v>All channels</x:v>
      </x:c>
      <x:c r="D24" s="3" t="str">
        <x:v>Review campaign results</x:v>
      </x:c>
      <x:c r="E24" s="3" t="str">
        <x:v>Review published posts, meaningful replies, clicks and qualified enquiries. Keep card subscriptions separate from agency leads. Do not interpret a click as a delivered enquiry.</x:v>
      </x:c>
      <x:c r="F24" s="3" t="str"/>
      <x:c r="G24" s="3" t="str"/>
      <x:c r="H24" s="17"/>
    </x:row>
    <x:row r="25" ht="95" customHeight="1">
      <x:c r="A25" s="23" t="str">
        <x:v>☐</x:v>
      </x:c>
      <x:c r="B25" s="17" t="n">
        <x:v>46356</x:v>
      </x:c>
      <x:c r="C25" s="3" t="str">
        <x:v>All channels</x:v>
      </x:c>
      <x:c r="D25" s="3" t="str">
        <x:v>Review campaign results</x:v>
      </x:c>
      <x:c r="E25" s="3" t="str">
        <x:v>Review published posts, meaningful replies, clicks and qualified enquiries. Keep card subscriptions separate from agency leads. Do not interpret a click as a delivered enquiry.</x:v>
      </x:c>
      <x:c r="F25" s="3" t="str"/>
      <x:c r="G25" s="3" t="str"/>
      <x:c r="H25" s="17"/>
    </x:row>
    <x:row r="26" ht="95" customHeight="1">
      <x:c r="A26" s="23" t="str">
        <x:v>☐</x:v>
      </x:c>
      <x:c r="B26" s="17" t="n">
        <x:v>46387</x:v>
      </x:c>
      <x:c r="C26" s="3" t="str">
        <x:v>All channels</x:v>
      </x:c>
      <x:c r="D26" s="3" t="str">
        <x:v>Review campaign results</x:v>
      </x:c>
      <x:c r="E26" s="3" t="str">
        <x:v>Review published posts, meaningful replies, clicks and qualified enquiries. Keep card subscriptions separate from agency leads. Do not interpret a click as a delivered enquiry.</x:v>
      </x:c>
      <x:c r="F26" s="3" t="str"/>
      <x:c r="G26" s="3" t="str"/>
      <x:c r="H26" s="17"/>
    </x:row>
    <x:row r="27" ht="95" customHeight="1">
      <x:c r="A27" s="23" t="str">
        <x:v>☐</x:v>
      </x:c>
      <x:c r="B27" s="17" t="n">
        <x:v>46387</x:v>
      </x:c>
      <x:c r="C27" s="3" t="str">
        <x:v>All channels</x:v>
      </x:c>
      <x:c r="D27" s="3" t="str">
        <x:v>Prepare January carry-forward</x:v>
      </x:c>
      <x:c r="E27" s="3" t="str">
        <x:v>Carry over useful formats and unresolved enquiries. Review renewals only for subscriptions old enough to renew. No automatic paid campaign.</x:v>
      </x:c>
      <x:c r="F27" s="3" t="str"/>
      <x:c r="G27" s="3" t="str"/>
      <x:c r="H27" s="17"/>
    </x:row>
  </x:sheetData>
  <x:conditionalFormatting sqref="A6:A27">
    <x:cfRule type="cellIs" dxfId="15" priority="1" operator="equal">
      <x:formula>"✓"</x:formula>
    </x:cfRule>
  </x:conditionalFormatting>
  <x:dataValidations count="1">
    <x:dataValidation type="list" sqref="A6:A27">
      <x:formula1>"☐,✓,N/A"</x:formula1>
    </x:dataValidation>
  </x:dataValidations>
  <x:pageMargins left="0.7" right="0.7" top="0.75" bottom="0.75" header="0.3" footer="0.3"/>
  <x:tableParts count="1">
    <x:tablePart xmlns:r="http://schemas.openxmlformats.org/officeDocument/2006/relationships" r:id="Rd24b84843b064254"/>
  </x:tableParts>
</x:worksheet>
</file>

<file path=xl/worksheets/sheet11.xml><?xml version="1.0" encoding="utf-8"?>
<x:worksheet xmlns:x="http://schemas.openxmlformats.org/spreadsheetml/2006/main">
  <x:sheetPr>
    <x:tabColor rgb="FF173C65"/>
  </x:sheetPr>
  <x:sheetViews>
    <x:sheetView showGridLines="0" workbookViewId="0">
      <x:pane ySplit="5" topLeftCell="A6" activePane="bottomLeft" state="frozen"/>
    </x:sheetView>
  </x:sheetViews>
  <x:sheetFormatPr defaultRowHeight="15"/>
  <x:cols>
    <x:col min="1" max="1" width="28" hidden="0" customWidth="1"/>
    <x:col min="2" max="2" width="120" hidden="0" customWidth="1"/>
    <x:col min="3" max="3" width="65" hidden="0" customWidth="1"/>
  </x:cols>
  <x:sheetData>
    <x:row r="1" ht="28" customHeight="1">
      <x:c r="A1" s="5" t="str">
        <x:v>How to use the calendar</x:v>
      </x:c>
      <x:c r="B1" s="3"/>
      <x:c r="C1" s="3"/>
    </x:row>
    <x:row r="2" ht="22" customHeight="1">
      <x:c r="A2" s="7" t="str">
        <x:v>Organic-only campaign. No client assets or attributed testimonials. Product launch and unapproved offer scope require confirmation.</x:v>
      </x:c>
      <x:c r="B2" s="3"/>
      <x:c r="C2" s="3"/>
    </x:row>
    <x:row r="3">
      <x:c r="A3" s="8"/>
      <x:c r="B3" s="8"/>
      <x:c r="C3" s="8"/>
    </x:row>
    <x:row r="4">
      <x:c r="A4" s="3"/>
      <x:c r="B4" s="3"/>
      <x:c r="C4" s="3"/>
    </x:row>
    <x:row r="5" ht="36" customHeight="1">
      <x:c r="A5" s="12" t="str">
        <x:v>Section</x:v>
      </x:c>
      <x:c r="B5" s="13" t="str">
        <x:v>Instructions</x:v>
      </x:c>
      <x:c r="C5" s="14" t="str">
        <x:v>Source / reference</x:v>
      </x:c>
    </x:row>
    <x:row r="6" ht="85" customHeight="1">
      <x:c r="A6" s="3" t="str">
        <x:v>Start here</x:v>
      </x:c>
      <x:c r="B6" s="3" t="str">
        <x:v>Use Progress for the overview. Open one channel tab, filter Planned date, and work from left to right. The captions and graphic directions are editable drafts. Nothing is automatically scheduled.</x:v>
      </x:c>
      <x:c r="C6" s="3" t="str">
        <x:v>User instructions, September 2026</x:v>
      </x:c>
    </x:row>
    <x:row r="7" ht="85" customHeight="1">
      <x:c r="A7" s="3" t="str">
        <x:v>Tick-off controls</x:v>
      </x:c>
      <x:c r="B7" s="3" t="str">
        <x:v>Published, Copy approved, Asset ready and Link tested are dropdown tick controls. Choose ✓ when complete. Use N/A in Published for deliberately skipped items. These are compatible cell dropdowns, not floating form controls.</x:v>
      </x:c>
      <x:c r="C7" s="3" t="str"/>
    </x:row>
    <x:row r="8" ht="85" customHeight="1">
      <x:c r="A8" s="3" t="str">
        <x:v>Workflow</x:v>
      </x:c>
      <x:c r="B8" s="3" t="str">
        <x:v>Draft → In production → Ready → Scheduled → Published. Use Hold when approvals are missing. Tick Published separately after the post is live. A skipped optional draft should have Published=N/A and Workflow=Skipped.</x:v>
      </x:c>
      <x:c r="C8" s="3" t="str"/>
    </x:row>
    <x:row r="9" ht="85" customHeight="1">
      <x:c r="A9" s="3" t="str">
        <x:v>Content volume</x:v>
      </x:c>
      <x:c r="B9" s="3" t="str">
        <x:v>35 core themes are adapted for all six platforms: 210 drafts. Google Business and Pinterest include Optional rows to avoid excessive or unsuitable posting. Conditional product content is not authorised for release.</x:v>
      </x:c>
      <x:c r="C9" s="3" t="str"/>
    </x:row>
    <x:row r="10" ht="85" customHeight="1">
      <x:c r="A10" s="3" t="str">
        <x:v>Digital Launchpad</x:v>
      </x:c>
      <x:c r="B10" s="3" t="str">
        <x:v>One plan, ₹32,000 + GST. Booking window: 14–25 September 2026. Scope, exclusions, payment terms and closing time still require approval. Do not infer any feature is included from an educational post.</x:v>
      </x:c>
      <x:c r="C10" s="3" t="str">
        <x:v>User-confirmed offer and tax treatment</x:v>
      </x:c>
    </x:row>
    <x:row r="11" ht="85" customHeight="1">
      <x:c r="A11" s="3" t="str">
        <x:v>Digital card</x:v>
      </x:c>
      <x:c r="B11" s="3" t="str">
        <x:v>Domain becomes available from 14 September 2026. Final domain, name, prices and public release date are not confirmed. Subscription pricing is + GST. The 10 November slot is provisional, not a launch commitment.</x:v>
      </x:c>
      <x:c r="C11" s="3" t="str">
        <x:v>User confirmation; preceding campaign plan</x:v>
      </x:c>
    </x:row>
    <x:row r="12" ht="85" customHeight="1">
      <x:c r="A12" s="3" t="str">
        <x:v>Fallbacks</x:v>
      </x:c>
      <x:c r="B12" s="3" t="str">
        <x:v>Digital-card rows include an evergreen fallback caption. If the product is not ready, replace BOTH the heading and graphic with the fallback topic. Use an original contact-checklist graphic. Do not publish a launch graphic with fallback copy.</x:v>
      </x:c>
      <x:c r="C12" s="3" t="str"/>
    </x:row>
    <x:row r="13" ht="85" customHeight="1">
      <x:c r="A13" s="3" t="str">
        <x:v>Links</x:v>
      </x:c>
      <x:c r="B13" s="3" t="str">
        <x:v>Agency URLs follow current project routes but must be tested live before publishing. Product launch URLs are deliberately blank until approved. Never publish a placeholder URL. Instagram uses a tested profile-link or relevant DM route.</x:v>
      </x:c>
      <x:c r="C13" s="3" t="str">
        <x:v>elan-tech-astro page routes</x:v>
      </x:c>
    </x:row>
    <x:row r="14" ht="85" customHeight="1">
      <x:c r="A14" s="3" t="str">
        <x:v>Times</x:v>
      </x:c>
      <x:c r="B14" s="3" t="str">
        <x:v>Times are initial IST test slots, not proven best times. Adjust using account Insights and audience location. Dates and times are sortable Excel values. Use business hours for messages.</x:v>
      </x:c>
      <x:c r="C14" s="3" t="str">
        <x:v>Planning assumption</x:v>
      </x:c>
    </x:row>
    <x:row r="15" ht="85" customHeight="1">
      <x:c r="A15" s="3" t="str">
        <x:v>Graphics</x:v>
      </x:c>
      <x:c r="B15" s="3" t="str">
        <x:v>Bright cream/white, eLan blue and orange. Shopify green, Medusa indigo, WooCommerce purple and accessibility teal can accent relevant posts. Use an original demo, no client name, logo, screen or testimonial for now.</x:v>
      </x:c>
      <x:c r="C15" s="3" t="str">
        <x:v>User brand and permission preferences</x:v>
      </x:c>
    </x:row>
    <x:row r="16" ht="85" customHeight="1">
      <x:c r="A16" s="3" t="str">
        <x:v>Production sizes</x:v>
      </x:c>
      <x:c r="B16" s="3" t="str">
        <x:v>FB/IG feed and LinkedIn documents: 1080×1350. Reels/Status: 1080×1920. GBP: 1200×900 working image. Pinterest: 1000×1500. These are working canvases, not universal platform limits. Preview each placement.</x:v>
      </x:c>
      <x:c r="C16" s="3" t="str">
        <x:v>https://business.pinterest.com/en-in/creative-best-practices/</x:v>
      </x:c>
    </x:row>
    <x:row r="17" ht="85" customHeight="1">
      <x:c r="A17" s="3" t="str">
        <x:v>Accessibility</x:v>
      </x:c>
      <x:c r="B17" s="3" t="str">
        <x:v>Caption audio, keep text readable, check contrast and avoid flashing. Suggested alt text must be revised to describe the final visual. Never describe a simple test as proof of complete WCAG or ADA compliance.</x:v>
      </x:c>
      <x:c r="C17" s="3" t="str"/>
    </x:row>
    <x:row r="18" ht="85" customHeight="1">
      <x:c r="A18" s="3" t="str">
        <x:v>Google Business</x:v>
      </x:c>
      <x:c r="B18" s="3" t="str">
        <x:v>Use Offer for S02 with accurate dates, times and terms. Other drafts are Updates. Do not place phone numbers in post descriptions. Optional rows are alternatives, not extra weekly commitments.</x:v>
      </x:c>
      <x:c r="C18" s="3" t="str">
        <x:v>https://support.google.com/business/answer/7342169</x:v>
      </x:c>
    </x:row>
    <x:row r="19" ht="85" customHeight="1">
      <x:c r="A19" s="3" t="str">
        <x:v>WhatsApp</x:v>
      </x:c>
      <x:c r="B19" s="3" t="str">
        <x:v>Status is separate from direct outreach. Group messages need suitable rules/admin permission. Individual messages need recipient interest or consent. Respect opt-outs and avoid mass unsolicited sending.</x:v>
      </x:c>
      <x:c r="C19" s="3" t="str">
        <x:v>https://about.fb.com/news/2025/04/ways-to-manage-your-businesses-chats-on-whatsapp/</x:v>
      </x:c>
    </x:row>
    <x:row r="20" ht="85" customHeight="1">
      <x:c r="A20" s="3" t="str">
        <x:v>Measurements</x:v>
      </x:c>
      <x:c r="B20" s="3" t="str">
        <x:v>Enter Reach/views, Link clicks and Qualified enquiries only after checking source data. Blank means not measured, not zero. Define a qualified enquiry as relevant requirements plus a valid contact, not a click. Keep subscription and agency outcomes separate.</x:v>
      </x:c>
      <x:c r="C20" s="3" t="str"/>
    </x:row>
    <x:row r="21" ht="85" customHeight="1">
      <x:c r="A21" s="3" t="str">
        <x:v>UTM links</x:v>
      </x:c>
      <x:c r="B21" s="3" t="str">
        <x:v>Source varies by channel; medium=social is a campaign convention. Test GA4 attribution, especially Google Business and WhatsApp. Do not include personal information in tracking links.</x:v>
      </x:c>
      <x:c r="C21" s="3" t="str"/>
    </x:row>
    <x:row r="22" ht="85" customHeight="1">
      <x:c r="A22" s="3" t="str">
        <x:v>Privacy</x:v>
      </x:c>
      <x:c r="B22" s="3" t="str">
        <x:v>Record post URLs and aggregate counts here. Store contact names, numbers, emails and sales conversations in a secure lead system, not in a shared calendar.</x:v>
      </x:c>
      <x:c r="C22" s="3" t="str"/>
    </x:row>
    <x:row r="23" ht="85" customHeight="1">
      <x:c r="A23" s="3" t="str">
        <x:v>Distribution</x:v>
      </x:c>
      <x:c r="B23" s="3" t="str">
        <x:v>No paid advertising, boosted posts or sponsored placements are included. Do not interpret this plan as permission to publish or change social accounts.</x:v>
      </x:c>
      <x:c r="C23" s="3" t="str">
        <x:v>User confirmation: no paid budget</x:v>
      </x:c>
    </x:row>
    <x:row r="24" ht="85" customHeight="1">
      <x:c r="A24" s="3" t="str">
        <x:v>Review routine</x:v>
      </x:c>
      <x:c r="B24" s="3" t="str">
        <x:v>Prepare two weeks ahead. Check replies each staffed business day. Review weekly results and the monthly account tasks. Use real evidence before changing strategy. No reach, lead or ranking guarantee.</x:v>
      </x:c>
      <x:c r="C24" s="3" t="str"/>
    </x:row>
    <x:row r="25" ht="85" customHeight="1">
      <x:c r="A25" s="3" t="str">
        <x:v>Planning source</x:v>
      </x:c>
      <x:c r="B25" s="3" t="str">
        <x:v>Expanded from the September–December campaign Word plan and the revised campaign report. The supplied GSC/GA4 reports informed topic priorities, not a verified social-account audit.</x:v>
      </x:c>
      <x:c r="C25" s="3" t="str">
        <x:v>eLan_Technology_Social_Media_Plan_Sep_Dec_2026.docx</x:v>
      </x:c>
    </x:row>
    <x:row r="26" ht="85" customHeight="1">
      <x:c r="A26" s="3" t="str">
        <x:v>Dates on Progress</x:v>
      </x:c>
      <x:c r="B26" s="3" t="str">
        <x:v>Progress shows the original theme date. Platform dates may be adjusted independently. Use the relevant channel tab as the live scheduling record.</x:v>
      </x:c>
      <x:c r="C26" s="3" t="str"/>
    </x:row>
    <x:row r="27" ht="85" customHeight="1">
      <x:c r="A27" s="3" t="str">
        <x:v>English copy</x:v>
      </x:c>
      <x:c r="B27" s="3" t="str">
        <x:v>Drafts are in English. Local Hindi/Marathi versions can be prepared after language preference is confirmed. Do not imply unapproved local offices.</x:v>
      </x:c>
      <x:c r="C27" s="3" t="str"/>
    </x:row>
    <x:row r="28">
      <x:c r="A28" s="3"/>
      <x:c r="B28" s="3"/>
      <x:c r="C28" s="3"/>
    </x:row>
    <x:row r="29">
      <x:c r="A29" s="3"/>
      <x:c r="B29" s="3"/>
      <x:c r="C29" s="3"/>
    </x:row>
    <x:row r="30">
      <x:c r="A30" s="3"/>
      <x:c r="B30" s="3"/>
      <x:c r="C30" s="3"/>
    </x:row>
    <x:row r="31">
      <x:c r="A31" s="3"/>
      <x:c r="B31" s="3"/>
      <x:c r="C31" s="3"/>
    </x:row>
    <x:row r="32">
      <x:c r="A32" s="3"/>
      <x:c r="B32" s="3"/>
      <x:c r="C32" s="3"/>
    </x:row>
  </x:sheetData>
  <x:pageMargins left="0.7" right="0.7" top="0.75" bottom="0.75" header="0.3" footer="0.3"/>
  <x:tableParts count="1">
    <x:tablePart xmlns:r="http://schemas.openxmlformats.org/officeDocument/2006/relationships" r:id="Rab8fb095c9624656"/>
  </x:tableParts>
</x:worksheet>
</file>